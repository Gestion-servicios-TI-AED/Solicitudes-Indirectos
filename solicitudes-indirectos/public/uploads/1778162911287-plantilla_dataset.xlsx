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OWER\Desktop\sf\"/>
    </mc:Choice>
  </mc:AlternateContent>
  <xr:revisionPtr revIDLastSave="0" documentId="13_ncr:1_{B2B8D021-E321-4CA4-B7B3-C1BE7862A7F0}" xr6:coauthVersionLast="47" xr6:coauthVersionMax="47" xr10:uidLastSave="{00000000-0000-0000-0000-000000000000}"/>
  <bookViews>
    <workbookView xWindow="-120" yWindow="-120" windowWidth="24240" windowHeight="13020" firstSheet="1" activeTab="3" xr2:uid="{00000000-000D-0000-FFFF-FFFF00000000}"/>
  </bookViews>
  <sheets>
    <sheet name="Estudiantes" sheetId="1" state="hidden" r:id="rId1"/>
    <sheet name="Plantilla Dataset" sheetId="2" r:id="rId2"/>
    <sheet name="Modelo de Entidad - Relación" sheetId="3" r:id="rId3"/>
    <sheet name="Diccionario de datos" sheetId="4" r:id="rId4"/>
  </sheets>
  <definedNames>
    <definedName name="page\x2dtotal" localSheetId="1">'Plantilla Dataset'!#REF!</definedName>
    <definedName name="page\x2dtotal">Estudiantes!$A$57</definedName>
    <definedName name="page\x2dtotal\x2dmaster0" localSheetId="1">'Plantilla Dataset'!#REF!</definedName>
    <definedName name="page\x2dtotal\x2dmaster0">Estudiantes!$A$57</definedName>
  </definedNames>
  <calcPr calcId="191029"/>
</workbook>
</file>

<file path=xl/calcChain.xml><?xml version="1.0" encoding="utf-8"?>
<calcChain xmlns="http://schemas.openxmlformats.org/spreadsheetml/2006/main">
  <c r="E70" i="1" l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</calcChain>
</file>

<file path=xl/sharedStrings.xml><?xml version="1.0" encoding="utf-8"?>
<sst xmlns="http://schemas.openxmlformats.org/spreadsheetml/2006/main" count="1044" uniqueCount="369">
  <si>
    <t>FUNDACIÓN UNIVERSITARIA TECNOLOGICO COMFENALCO</t>
  </si>
  <si>
    <t>Cartagena</t>
  </si>
  <si>
    <t>NIT. 890481183-1</t>
  </si>
  <si>
    <t>Barrio España Kra. 44D#30 A 91</t>
  </si>
  <si>
    <t>Código Docente</t>
  </si>
  <si>
    <t>Nombre Docente</t>
  </si>
  <si>
    <t>0000072614</t>
  </si>
  <si>
    <t>ESPRIELLA CASTELLAR,WALTER ALBERTO</t>
  </si>
  <si>
    <t>Asignatura</t>
  </si>
  <si>
    <t>Numero clase</t>
  </si>
  <si>
    <t>MINERIA DE DATOS II</t>
  </si>
  <si>
    <t>3041 y 3042</t>
  </si>
  <si>
    <t xml:space="preserve">LISTA DE ASISTENCIA DEL PERIODO 2026- Primer Semestre </t>
  </si>
  <si>
    <t>Código Estudiante</t>
  </si>
  <si>
    <t>Nombre Estudiante</t>
  </si>
  <si>
    <t>Sección - Clase</t>
  </si>
  <si>
    <t>Cod + Nombre Estudiante</t>
  </si>
  <si>
    <t>Correo</t>
  </si>
  <si>
    <t>Sec.</t>
  </si>
  <si>
    <t>N1</t>
  </si>
  <si>
    <t>N2</t>
  </si>
  <si>
    <t>N3</t>
  </si>
  <si>
    <t>N4</t>
  </si>
  <si>
    <t>Nota Def</t>
  </si>
  <si>
    <t>0000053772</t>
  </si>
  <si>
    <t>ALVAREZ REYES LEONARDO DE JESUS</t>
  </si>
  <si>
    <t>leonardoalvarezr@tecnocomfenalco.edu.co</t>
  </si>
  <si>
    <t>199</t>
  </si>
  <si>
    <t>0.00</t>
  </si>
  <si>
    <t/>
  </si>
  <si>
    <t>0000055648</t>
  </si>
  <si>
    <t>CABRALES PABON CAMILO ANDRES</t>
  </si>
  <si>
    <t>camilocabralesp@tecnocomfenalco.edu.co</t>
  </si>
  <si>
    <t>0000054119</t>
  </si>
  <si>
    <t>CASTAÑO GALLARDO RUBEN DARIO</t>
  </si>
  <si>
    <t>rubencastanog@tecnocomfenalco.edu.co</t>
  </si>
  <si>
    <t>0000046654</t>
  </si>
  <si>
    <t>CASTILLO CABALLERO OSCAR DAVID</t>
  </si>
  <si>
    <t>oscarcastilloc@tecnocomfenalco.edu.co</t>
  </si>
  <si>
    <t>0000054621</t>
  </si>
  <si>
    <t>DE LA ROSA BANQUEZ CARLOS ALBERTO</t>
  </si>
  <si>
    <t>carlosdelarosab@tecnocomfenalco.edu.co</t>
  </si>
  <si>
    <t>0000054596</t>
  </si>
  <si>
    <t>DIAZ CASTRO CARLOS JOSÉ</t>
  </si>
  <si>
    <t>cdiaz6690@tecnocomfenalco.edu.co</t>
  </si>
  <si>
    <t>0000053697</t>
  </si>
  <si>
    <t>DIAZ LOPEZ DIANA MARCELA</t>
  </si>
  <si>
    <t>dianadiazl@tecnocomfenalco.edu.co</t>
  </si>
  <si>
    <t>0000055745</t>
  </si>
  <si>
    <t>GUTIERREZ MEZA JUAN DAVID</t>
  </si>
  <si>
    <t>juangutierrezm@tecnocomfenalco.edu.co</t>
  </si>
  <si>
    <t>0000054144</t>
  </si>
  <si>
    <t>HERNANDEZ CAREY EDY ANDRES</t>
  </si>
  <si>
    <t>edyhernandezc@tecnocomfenalco.edu.co</t>
  </si>
  <si>
    <t>0000040134</t>
  </si>
  <si>
    <t>HERRERA ARRIETA LUIS ABEL</t>
  </si>
  <si>
    <t>luisherreraa@tecnocomfenalco.edu.co</t>
  </si>
  <si>
    <t>0000054712</t>
  </si>
  <si>
    <t>MACHACON ARIAS SANTIAGO ENRIQUE</t>
  </si>
  <si>
    <t>santiagomachacona@tecnocomfenalco.edu.co</t>
  </si>
  <si>
    <t>0000053914</t>
  </si>
  <si>
    <t>MEJÍA PATERNINA RAFAEL JUNIOR</t>
  </si>
  <si>
    <t>rafaelmejiap@tecnocomfenalco.edu.co</t>
  </si>
  <si>
    <t>0000053762</t>
  </si>
  <si>
    <t>MENDOZA ARIAS JOEL JOSE</t>
  </si>
  <si>
    <t>joelmendozaa@tecnocomfenalco.edu.co</t>
  </si>
  <si>
    <t>0000055299</t>
  </si>
  <si>
    <t>MESINO TONO FERNANDO JOSE</t>
  </si>
  <si>
    <t>fernandomesinot@tecnocomfenalco.edu.co</t>
  </si>
  <si>
    <t>0000061254</t>
  </si>
  <si>
    <t>MORELOS AMARIS BRYAN DE JESUS</t>
  </si>
  <si>
    <t>bryanmorelosa@tecnocomfenalco.edu.co</t>
  </si>
  <si>
    <t>0000055014</t>
  </si>
  <si>
    <t>NUÑEZ CABARCAS YOIMER</t>
  </si>
  <si>
    <t>yoimernunezc@tecnocomfenalco.edu.co</t>
  </si>
  <si>
    <t>0000054071</t>
  </si>
  <si>
    <t>OLMOS CAICEDO PABLO</t>
  </si>
  <si>
    <t>pabloolmosc@tecnocomfenalco.edu.co</t>
  </si>
  <si>
    <t>0000054073</t>
  </si>
  <si>
    <t>OROZCO MEZA LUIS GUILLERMO</t>
  </si>
  <si>
    <t>luisorozcom@tecnocomfenalco.edu.co</t>
  </si>
  <si>
    <t>0000053588</t>
  </si>
  <si>
    <t>PAEZ PEREZ ALEJANDRO</t>
  </si>
  <si>
    <t>alejandropaezp@tecnocomfenalco.edu.co</t>
  </si>
  <si>
    <t>0000053681</t>
  </si>
  <si>
    <t>RANGEL VIDES ADRIAN DE JESUS</t>
  </si>
  <si>
    <t>adrianrangelv@tecnocomfenalco.edu.co</t>
  </si>
  <si>
    <t>0000054180</t>
  </si>
  <si>
    <t>REYES PADILLA DAVID ANDRES</t>
  </si>
  <si>
    <t>davidreyesp@tecnocomfenalco.edu.co</t>
  </si>
  <si>
    <t>0000053816</t>
  </si>
  <si>
    <t>RODRIGUEZ GARCIA KEYLA ROSA</t>
  </si>
  <si>
    <t>keylarodriguezg@tecnocomfenalco.edu.co</t>
  </si>
  <si>
    <t>0000054545</t>
  </si>
  <si>
    <t>TOSCANO DAVILA SAITH RAFAEL</t>
  </si>
  <si>
    <t>saithtoscanod@tecnocomfenalco.edu.co</t>
  </si>
  <si>
    <t>0000053275</t>
  </si>
  <si>
    <t>VALDELAMAR CALDERA GABRIEL ELIAS</t>
  </si>
  <si>
    <t>gabrielvaldelamarc@tecnocomfenalco.edu.co</t>
  </si>
  <si>
    <t>0000051889</t>
  </si>
  <si>
    <t>VÁSQUEZ TORRES YONIER ALEJANDRO</t>
  </si>
  <si>
    <t>yoniervasquezt@tecnocomfenalco.edu.co</t>
  </si>
  <si>
    <t>0000055269</t>
  </si>
  <si>
    <t>ZUÑIGA DAVILA JEISON ORLANDO</t>
  </si>
  <si>
    <t>jeisonzunigad@tecnocomfenalco.edu.co</t>
  </si>
  <si>
    <t>0000051603</t>
  </si>
  <si>
    <t>ARRIETA SERJE LEIDER DAVID</t>
  </si>
  <si>
    <t>leiderarrietas@tecnocomfenalco.edu.co</t>
  </si>
  <si>
    <t>0000053850</t>
  </si>
  <si>
    <t>BARRIOS VILLAMIZAR JESUS DAVID</t>
  </si>
  <si>
    <t>jesusbarriosv@tecnocomfenalco.edu.co</t>
  </si>
  <si>
    <t>0000054879</t>
  </si>
  <si>
    <t>BERRIO JULIO MILTON JOSE</t>
  </si>
  <si>
    <t>miltonberrioj@tecnocomfenalco.edu.co</t>
  </si>
  <si>
    <t>0000048154</t>
  </si>
  <si>
    <t>CAJIGAS MORALES JAIDER DAVID</t>
  </si>
  <si>
    <t>cajigas@tecnocomfenalco.edu.co</t>
  </si>
  <si>
    <t>0000055731</t>
  </si>
  <si>
    <t>CANCIO MEZA JULIO CESAR</t>
  </si>
  <si>
    <t>juliocanciom@tecnocomfenalco.edu.co</t>
  </si>
  <si>
    <t>0000019275</t>
  </si>
  <si>
    <t>CANOLES ALTAMIRANDA EDINSON</t>
  </si>
  <si>
    <t>ecanoles@tecnocomfenalco.edu.co</t>
  </si>
  <si>
    <t>0000054766</t>
  </si>
  <si>
    <t>CASTILLO ARMEDO MARIA ALEJANDRA</t>
  </si>
  <si>
    <t>mariacastilloa@tecnocomfenalco.edu.co</t>
  </si>
  <si>
    <t>0000054948</t>
  </si>
  <si>
    <t>DAVILA CHAVES ALEJANDRO</t>
  </si>
  <si>
    <t>alejandrodavilac@tecnocomfenalco.edu.co</t>
  </si>
  <si>
    <t>0000055008</t>
  </si>
  <si>
    <t>DEULUFEUTT MENDEZ JESUS DAVID</t>
  </si>
  <si>
    <t>jesusdeulufeuttm@tecnocomfenalco.edu.co</t>
  </si>
  <si>
    <t>0000039784</t>
  </si>
  <si>
    <t>DIAZ MEJIA JESUS ALBERTO</t>
  </si>
  <si>
    <t>jesusdiazm@tecnocomfenalco.edu.co</t>
  </si>
  <si>
    <t>0000054912</t>
  </si>
  <si>
    <t>HERRERA RODRIGUEZ DOIMER ANDRES</t>
  </si>
  <si>
    <t>doimerherrerar@tecnocomfenalco.edu.co</t>
  </si>
  <si>
    <t>0000054894</t>
  </si>
  <si>
    <t>LEON JEREZ AARON EDUARDO</t>
  </si>
  <si>
    <t>aaronleonj@tecnocomfenalco.edu.co</t>
  </si>
  <si>
    <t>0000054597</t>
  </si>
  <si>
    <t>MARIMON TORRES JOSE DANIEL</t>
  </si>
  <si>
    <t>josemarimont@tecnocomfenalco.edu.co</t>
  </si>
  <si>
    <t>0000051892</t>
  </si>
  <si>
    <t>MARRUGO BARRIOS CRISTIAN</t>
  </si>
  <si>
    <t>cristianmarrugob@tecnocomfenalco.edu.co</t>
  </si>
  <si>
    <t>0000053718</t>
  </si>
  <si>
    <t>MARRUGO CASTILLA BRAYAN DE JESUS</t>
  </si>
  <si>
    <t>brayanmarrugoc@tecnocomfenalco.edu.co</t>
  </si>
  <si>
    <t>0000055494</t>
  </si>
  <si>
    <t>MELÉNDEZ RAMOS JOSE ANGEL</t>
  </si>
  <si>
    <t>josemelendezr@tecnocomfenalco.edu.co</t>
  </si>
  <si>
    <t>0000054927</t>
  </si>
  <si>
    <t>MEZA ASCANIO RONNY JOSUE</t>
  </si>
  <si>
    <t>ronnymezaa@tecnocomfenalco.edu.co</t>
  </si>
  <si>
    <t>0000051956</t>
  </si>
  <si>
    <t>MORANTE CONTRERAS MILEIDY YULIETH</t>
  </si>
  <si>
    <t>mileidymorantec@tecnocomfenalco.edu.co</t>
  </si>
  <si>
    <t>0000054156</t>
  </si>
  <si>
    <t>MORELOS ALCALA JARLIN DAVID</t>
  </si>
  <si>
    <t>jarlinmorelosa@tecnocomfenalco.edu.co</t>
  </si>
  <si>
    <t>0000052038</t>
  </si>
  <si>
    <t>NIÑO ACUÑA CRISTIAN JOSE</t>
  </si>
  <si>
    <t>cristianninoa@tecnocomfenalco.edu.co</t>
  </si>
  <si>
    <t>0000054848</t>
  </si>
  <si>
    <t>NOVAS PADILLA SANTIAGO</t>
  </si>
  <si>
    <t>santiagonovasp@tecnocomfenalco.edu.co</t>
  </si>
  <si>
    <t>0000053860</t>
  </si>
  <si>
    <t>NOVOA ACOSTA FELIX MARIO</t>
  </si>
  <si>
    <t>novoaf@tecnocomfenalco.edu.co</t>
  </si>
  <si>
    <t>0000052010</t>
  </si>
  <si>
    <t>OVIEDO VITOLA ANDRES ALFONSO</t>
  </si>
  <si>
    <t>andresoviedov@tecnocomfenalco.edu.co</t>
  </si>
  <si>
    <t>0000052060</t>
  </si>
  <si>
    <t>PALENCIA OCAMPO EZEQUIEL DAVID</t>
  </si>
  <si>
    <t>ezequielpalenciao@tecnocomfenalco.edu.co</t>
  </si>
  <si>
    <t>0000054998</t>
  </si>
  <si>
    <t>RAMOS NAJERA ANDRES FELIPE</t>
  </si>
  <si>
    <t>andresramosn@tecnocomfenalco.edu.co</t>
  </si>
  <si>
    <t>0000054943</t>
  </si>
  <si>
    <t>RÍOS ALMEIDA JOHAN ZAIR</t>
  </si>
  <si>
    <t>johanriosa@tecnocomfenalco.edu.co</t>
  </si>
  <si>
    <t>0000054630</t>
  </si>
  <si>
    <t>RUIZ MARTINEZ MANUEL ENRIQUE</t>
  </si>
  <si>
    <t>manuelruizm@tecnocomfenalco.edu.co</t>
  </si>
  <si>
    <t>0000051031</t>
  </si>
  <si>
    <t>SANTIAGO LOPEZ ROBINSON ANDRES</t>
  </si>
  <si>
    <t>robinsonsantiagol@tecnocomfenalco.edu.co</t>
  </si>
  <si>
    <t>0000053712</t>
  </si>
  <si>
    <t>SOLANO RODRIGUEZ EDUARDO ANDRES</t>
  </si>
  <si>
    <t>eduardosolanor@tecnocomfenalco.edu.co</t>
  </si>
  <si>
    <t>0000052822</t>
  </si>
  <si>
    <t>TORRES GONZALEZ ANYELL DAVID</t>
  </si>
  <si>
    <t>anyeltorresg@tecnocomfenalco.edu.co</t>
  </si>
  <si>
    <t>0000053081</t>
  </si>
  <si>
    <t>TORRES PEREIRA KENNER DAVID</t>
  </si>
  <si>
    <t>ktorres9034@tecnocomfenalco.edu.co</t>
  </si>
  <si>
    <t>PLANTILLA PARA ESTRUCTURA DE DATASET - ENTREGABLE PROYECTO DE AULA</t>
  </si>
  <si>
    <t>Instrucciones</t>
  </si>
  <si>
    <t>Título del proyecto:</t>
  </si>
  <si>
    <t>Agregar aquí el título del proyecto de aula.</t>
  </si>
  <si>
    <t>Nombre corto del proyecto:</t>
  </si>
  <si>
    <t>Ecoswap</t>
  </si>
  <si>
    <t>Nombre comercial o corto del proyecto de aula.</t>
  </si>
  <si>
    <t>Objetivo general del proyecto:</t>
  </si>
  <si>
    <t>Objetivo general del proyecto de aula.</t>
  </si>
  <si>
    <t>Descripción del problema:</t>
  </si>
  <si>
    <t>Descripción general del proyecto, puede tomarlo del documento.</t>
  </si>
  <si>
    <t>Módelo de predicción a aplicar:</t>
  </si>
  <si>
    <t>Describa aquí el modelo de predicción que va a aplicar para su proyecto de aula (Solo 1 caso de estudio).</t>
  </si>
  <si>
    <t>Estudiante 1:</t>
  </si>
  <si>
    <t>0000054119 - 3041 - CASTAÑO GALLARDO RUBEN DARIO</t>
  </si>
  <si>
    <t>Seleccione el primer estudiante del grupo para el proyecto de aula.</t>
  </si>
  <si>
    <t>Estudiante 2:</t>
  </si>
  <si>
    <t>0000046654 - 3041 - CASTILLO CABALLERO OSCAR DAVID</t>
  </si>
  <si>
    <t>Seleccione el segundo estudiante del grupo para el proyecto de aula.</t>
  </si>
  <si>
    <t>Estudiante 3:</t>
  </si>
  <si>
    <t>0000053275 - 3041 - VALDELAMAR CALDERA GABRIEL ELIAS</t>
  </si>
  <si>
    <t>Seleccione el tercer estudiante del grupo para el proyecto de aula.</t>
  </si>
  <si>
    <t>Estudiante 4:</t>
  </si>
  <si>
    <t>0000054621 - 3041 - DE LA ROSA BANQUEZ CARLOS ALBERTO</t>
  </si>
  <si>
    <t>Seleccione el cuarto estudiante del grupo para el proyecto de aula.</t>
  </si>
  <si>
    <t>Estudiante 5:</t>
  </si>
  <si>
    <t>0000055648 - 3041 - CABRALES PABON CAMILO ANDRES</t>
  </si>
  <si>
    <t>Seleccione el quinto estudiante del grupo para el proyecto de aula.</t>
  </si>
  <si>
    <t>DATASET</t>
  </si>
  <si>
    <t>Header section</t>
  </si>
  <si>
    <t>@relation (nombre del dataset)</t>
  </si>
  <si>
    <t>dataset_ecoswap</t>
  </si>
  <si>
    <t>Nombre del dataset o nombre del archivo CSV o ARFF para procesar con WEKA.</t>
  </si>
  <si>
    <t>@attribute (Atributos)</t>
  </si>
  <si>
    <t>Nombre del campo</t>
  </si>
  <si>
    <t>Tipos de dato</t>
  </si>
  <si>
    <t>Mínimo debe agregar 4 atributos</t>
  </si>
  <si>
    <t>Ejemplos de tipos de datos</t>
  </si>
  <si>
    <t>@attribute (Atributo 1)</t>
  </si>
  <si>
    <t>product_category</t>
  </si>
  <si>
    <t>Numérico (numeric)</t>
  </si>
  <si>
    <t>Agregar aquí su atributo nro 1 y seleccione el tipo de dato.</t>
  </si>
  <si>
    <t>Tipo de dato</t>
  </si>
  <si>
    <t>Sintaxis ARFF</t>
  </si>
  <si>
    <t>Descripción</t>
  </si>
  <si>
    <t>Ejemplo de declaración</t>
  </si>
  <si>
    <t>@attribute (Atributo 2)</t>
  </si>
  <si>
    <t>product_condition</t>
  </si>
  <si>
    <t>Agregar aquí su atributo nro 2 y seleccione el tipo de dato.</t>
  </si>
  <si>
    <t>@attribute nombre numeric</t>
  </si>
  <si>
    <t>Representa valores cuantitativos (enteros o decimales).</t>
  </si>
  <si>
    <t>@attribute edad numeric</t>
  </si>
  <si>
    <t>@attribute (Atributo 3)</t>
  </si>
  <si>
    <t>days_published</t>
  </si>
  <si>
    <t>Agregar aquí su atributo nro 3 y seleccione el tipo de dato.</t>
  </si>
  <si>
    <t>Entero (integer)</t>
  </si>
  <si>
    <t>@attribute nombre integer</t>
  </si>
  <si>
    <t>Similar al numérico, pero restringido a valores enteros. WEKA lo convierte internamente a numérico.</t>
  </si>
  <si>
    <t>@attribute años_experiencia integer</t>
  </si>
  <si>
    <t>@attribute (Atributo 4)</t>
  </si>
  <si>
    <t>product_estimated_value</t>
  </si>
  <si>
    <t>Agregar aquí su atributo nro 4 y seleccione el tipo de dato.</t>
  </si>
  <si>
    <t>Nominal o categórico</t>
  </si>
  <si>
    <t>@attribute nombre {valor1, valor2, valor3}</t>
  </si>
  <si>
    <t>Lista cerrada de categorías posibles. Fundamental para clasificación.</t>
  </si>
  <si>
    <t>@attribute lenguaje {Python,Java,PHP}</t>
  </si>
  <si>
    <t>@attribute (Atributo 5)</t>
  </si>
  <si>
    <t>offer_estimated_value</t>
  </si>
  <si>
    <t>Agregar aquí su atributo nro 5 y seleccione el tipo de dato.</t>
  </si>
  <si>
    <t>Cadena (string)</t>
  </si>
  <si>
    <t>@attribute nombre string</t>
  </si>
  <si>
    <t>Texto libre, no limitado a categorías. No se puede usar directamente para modelar (se debe convertir a nominal o vectorizar).</t>
  </si>
  <si>
    <t>@attribute descripcion string</t>
  </si>
  <si>
    <t>@attribute (Atributo 6)</t>
  </si>
  <si>
    <t>value_ratio</t>
  </si>
  <si>
    <t>Agregar aquí su atributo nro 6 y seleccione el tipo de dato.</t>
  </si>
  <si>
    <t>Fecha (date)</t>
  </si>
  <si>
    <t>@attribute nombre date [formato]</t>
  </si>
  <si>
    <t>Representa fechas o tiempos. El formato es opcional y sigue las convenciones de SimpleDateFormat de Java.</t>
  </si>
  <si>
    <t>@attribute fecha_inicio date "yyyy-MM-dd"</t>
  </si>
  <si>
    <t>@attribute (Atributo 7)</t>
  </si>
  <si>
    <t>interactions_30d</t>
  </si>
  <si>
    <t>Agregar aquí su atributo nro 7 y seleccione el tipo de dato.</t>
  </si>
  <si>
    <t>Relacional (relational)</t>
  </si>
  <si>
    <t>@attribute nombre relational ... @end attribute</t>
  </si>
  <si>
    <t>Define una estructura anidada (subtablas) dentro de un dataset principal. Se usa en análisis avanzados o multilabel.</t>
  </si>
  <si>
    <t>@attribute modulos relational @attribute id numeric @attribute estado {OK,FALLA} @end attribute</t>
  </si>
  <si>
    <t>@attribute (Atributo 8)</t>
  </si>
  <si>
    <t>user_success_history</t>
  </si>
  <si>
    <t>Agregar aquí su atributo nro 8 y seleccione el tipo de dato.</t>
  </si>
  <si>
    <t>@attribute (Atributo 9)</t>
  </si>
  <si>
    <t>user_rating_avg</t>
  </si>
  <si>
    <t>Agregar aquí su atributo nro 9 y seleccione el tipo de dato.</t>
  </si>
  <si>
    <t>@attribute (Atributo 10)</t>
  </si>
  <si>
    <t xml:space="preserve">distance_km </t>
  </si>
  <si>
    <t>Agregar aquí su atributo nro 10 y seleccione el tipo de dato.</t>
  </si>
  <si>
    <t>exchange_successful</t>
  </si>
  <si>
    <t>Data section</t>
  </si>
  <si>
    <t>Agregar en esta sección cada uno de los atributos (en la fila roja) y luego en la siguiente fila los datos sintéticos o ficticios para cada uno de ellos, si tiene o posee datos reales también los puede usar (Mínimo 100 registros o filas)</t>
  </si>
  <si>
    <t>@attribute (Atributo 11)</t>
  </si>
  <si>
    <t>distance_km</t>
  </si>
  <si>
    <t>Agregue en esta fila los nombres de cada atributo.</t>
  </si>
  <si>
    <t>otros</t>
  </si>
  <si>
    <t>nuevo</t>
  </si>
  <si>
    <t>True</t>
  </si>
  <si>
    <t>ropa</t>
  </si>
  <si>
    <t>como_nuevo</t>
  </si>
  <si>
    <t>tecnologia</t>
  </si>
  <si>
    <t>hogar</t>
  </si>
  <si>
    <t>False</t>
  </si>
  <si>
    <t>usado_regular</t>
  </si>
  <si>
    <t>deportes</t>
  </si>
  <si>
    <t>usado_bueno</t>
  </si>
  <si>
    <t>libros</t>
  </si>
  <si>
    <t>PLANTILLA PARA MODELO DE ENTIDAD RELACIÓN - ENTREGABLE PROYECTO DE AULA</t>
  </si>
  <si>
    <t>Pegar en esta sección una imagen de su módelo de entidad-relación o si gusta creelo aquí</t>
  </si>
  <si>
    <t>PLANTILLA PARA DICCIONARIO DE DATOS - ENTREGABLE PROYECTO DE AULA</t>
  </si>
  <si>
    <t>Nombre del Dataset</t>
  </si>
  <si>
    <t>Fuente de Datos</t>
  </si>
  <si>
    <t>Fecha de Creación</t>
  </si>
  <si>
    <t>Frecuencia de Actualización</t>
  </si>
  <si>
    <t>DICCIONARIO DE DATOS</t>
  </si>
  <si>
    <t>#</t>
  </si>
  <si>
    <t>Nombre del Campo</t>
  </si>
  <si>
    <t>Tipo de Dato</t>
  </si>
  <si>
    <t>Longitud</t>
  </si>
  <si>
    <t>Valores Permitidos</t>
  </si>
  <si>
    <t>Ejemplo</t>
  </si>
  <si>
    <t>Nulo (Sí/No)</t>
  </si>
  <si>
    <t>Fuente</t>
  </si>
  <si>
    <t>Observaciones</t>
  </si>
  <si>
    <t>nominal</t>
  </si>
  <si>
    <t>Categoría del producto objetivo</t>
  </si>
  <si>
    <t>tecnologia, ropa, hogar, libros, deportes, otros</t>
  </si>
  <si>
    <t>No</t>
  </si>
  <si>
    <t>BD productos</t>
  </si>
  <si>
    <t>Estado del producto objetivo</t>
  </si>
  <si>
    <t>nuevo, usado</t>
  </si>
  <si>
    <t>usado</t>
  </si>
  <si>
    <t>numeric</t>
  </si>
  <si>
    <t>Días publicado del producto</t>
  </si>
  <si>
    <t>Entero positivo</t>
  </si>
  <si>
    <t>Valor estimado del producto</t>
  </si>
  <si>
    <t>Calculada</t>
  </si>
  <si>
    <t>Valor estimado del producto ofrecido</t>
  </si>
  <si>
    <t>numeric </t>
  </si>
  <si>
    <t>offer_estimated_value / product_estimated_value</t>
  </si>
  <si>
    <t>&gt; 0</t>
  </si>
  <si>
    <t>0.40</t>
  </si>
  <si>
    <t>Derivado</t>
  </si>
  <si>
    <t>Interacciones del producto en últimos 30 días</t>
  </si>
  <si>
    <t>&gt;= 0</t>
  </si>
  <si>
    <t>BD intercambios</t>
  </si>
  <si>
    <t>Intercambios completados históricos del usuario</t>
  </si>
  <si>
    <t>Calificación promedio del usuario</t>
  </si>
  <si>
    <t>1.00 - 5.00</t>
  </si>
  <si>
    <t>BD usuarios</t>
  </si>
  <si>
    <t>Distancia estimada entre usuarios</t>
  </si>
  <si>
    <t>Sí</t>
  </si>
  <si>
    <t>Geocálculo</t>
  </si>
  <si>
    <t>Resultado final del intercambio</t>
  </si>
  <si>
    <t>False, True</t>
  </si>
  <si>
    <t>La sociedad actual enfrenta un alto nivel de consumo y desecho de productos. Muchos artículos son reemplazados constantemente por otros nuevos, a pesar de estar en buen estado, generando grandes cantidades de residuos y una presión creciente sobre los recursos naturales. Además, la falta de cultura de reutilización y la inexistencia de plataformas que incentiven el intercambio responsable agravan la problemática.
Este comportamiento de consumo desmedido tiene consecuencias negativas en el medio ambiente, la economía y las dinámicas sociales. La acumulación de objetos genera contaminación, ocupa espacios innecesarios y limita las oportunidades de que otras personas puedan beneficiarse de ellos. Por ello, se requiere un sistema digital que permita conectar a quienes tienen objetos en desuso con quienes los necesitan, promoviendo el aprovechamiento eficiente de los recursos.</t>
  </si>
  <si>
    <t>Desarrollar una plataforma web denominada Ecoswap que permita el intercambio de artículos en desuso entre los miembros de una comunidad, fomentando la economía circular, la sostenibilidad ambiental y la confianza en las transacciones digitales</t>
  </si>
  <si>
    <t>Aplicativo web para el intercambio de productos de segunda mano</t>
  </si>
  <si>
    <t>RandomForest</t>
  </si>
  <si>
    <t>Dataset_ecoswap</t>
  </si>
  <si>
    <t xml:space="preserve">Dataset supervisado para clasificación binaria que predice si un intercambio será exitoso (exchange_successful: True/False) a partir de variables del producto y del usuario como product_id, days_published, interactions, user_success_history, user_rating y location.
</t>
  </si>
  <si>
    <t>Archivo interno del proyecto dataset_ecoswap.arff, usado junto con el modelo entrenado dataset_ecoswap.model. Los datos para la predicción se obtienen de la base de datos del aplicativo ecoswap</t>
  </si>
  <si>
    <t>Manual</t>
  </si>
  <si>
    <t>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</si>
</sst>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2"/>
      <color theme="1"/>
      <name val="Times New Roman"/>
      <family val="1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0"/>
      <color theme="1"/>
      <name val="Arial Unicode MS"/>
      <family val="2"/>
    </font>
    <font>
      <b/>
      <sz val="9"/>
      <color theme="0"/>
      <name val="Arial"/>
      <family val="2"/>
    </font>
    <font>
      <b/>
      <sz val="11"/>
      <color theme="0"/>
      <name val="Calibri"/>
      <family val="2"/>
    </font>
    <font>
      <b/>
      <sz val="11"/>
      <color rgb="FFEA1E29"/>
      <name val="Calibri"/>
      <family val="2"/>
    </font>
    <font>
      <i/>
      <sz val="11"/>
      <name val="Calibri"/>
      <family val="2"/>
    </font>
    <font>
      <b/>
      <i/>
      <sz val="11"/>
      <color rgb="FF18439A"/>
      <name val="Calibri"/>
      <family val="2"/>
    </font>
    <font>
      <b/>
      <i/>
      <sz val="11"/>
      <color theme="0"/>
      <name val="Calibri"/>
      <family val="2"/>
    </font>
    <font>
      <sz val="11"/>
      <color theme="0"/>
      <name val="Calibri"/>
      <family val="2"/>
    </font>
    <font>
      <sz val="8"/>
      <color rgb="FF000000"/>
      <name val="Arial"/>
      <family val="2"/>
    </font>
    <font>
      <b/>
      <sz val="11"/>
      <color rgb="FF18439A"/>
      <name val="Calibri"/>
      <family val="2"/>
    </font>
    <font>
      <sz val="10"/>
      <name val="Segoe UI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A1E29"/>
        <bgColor indexed="64"/>
      </patternFill>
    </fill>
    <fill>
      <patternFill patternType="solid">
        <fgColor rgb="FF18439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0" fillId="0" borderId="1" xfId="0" applyBorder="1" applyAlignment="1">
      <alignment vertical="top" wrapText="1"/>
    </xf>
    <xf numFmtId="0" fontId="6" fillId="0" borderId="8" xfId="0" applyFont="1" applyBorder="1" applyAlignment="1">
      <alignment horizontal="left" vertical="center" wrapText="1"/>
    </xf>
    <xf numFmtId="0" fontId="7" fillId="0" borderId="0" xfId="0" applyFont="1"/>
    <xf numFmtId="0" fontId="6" fillId="0" borderId="15" xfId="0" applyFont="1" applyBorder="1" applyAlignment="1">
      <alignment horizontal="left" vertical="center" wrapText="1"/>
    </xf>
    <xf numFmtId="0" fontId="8" fillId="0" borderId="0" xfId="0" applyFont="1"/>
    <xf numFmtId="49" fontId="7" fillId="0" borderId="0" xfId="0" applyNumberFormat="1" applyFont="1"/>
    <xf numFmtId="0" fontId="8" fillId="0" borderId="11" xfId="0" applyFont="1" applyBorder="1"/>
    <xf numFmtId="0" fontId="10" fillId="0" borderId="11" xfId="0" applyFont="1" applyBorder="1"/>
    <xf numFmtId="0" fontId="12" fillId="4" borderId="11" xfId="0" applyFont="1" applyFill="1" applyBorder="1"/>
    <xf numFmtId="0" fontId="13" fillId="0" borderId="0" xfId="0" applyFont="1"/>
    <xf numFmtId="0" fontId="9" fillId="0" borderId="0" xfId="0" applyFont="1"/>
    <xf numFmtId="0" fontId="14" fillId="0" borderId="0" xfId="0" applyFont="1"/>
    <xf numFmtId="0" fontId="0" fillId="0" borderId="0" xfId="0" applyAlignment="1">
      <alignment horizontal="left"/>
    </xf>
    <xf numFmtId="49" fontId="8" fillId="0" borderId="0" xfId="0" applyNumberFormat="1" applyFont="1"/>
    <xf numFmtId="0" fontId="15" fillId="0" borderId="0" xfId="0" applyFont="1"/>
    <xf numFmtId="0" fontId="0" fillId="5" borderId="11" xfId="0" applyFill="1" applyBorder="1" applyAlignment="1">
      <alignment horizontal="center"/>
    </xf>
    <xf numFmtId="0" fontId="16" fillId="4" borderId="11" xfId="0" applyFont="1" applyFill="1" applyBorder="1"/>
    <xf numFmtId="49" fontId="17" fillId="3" borderId="11" xfId="0" applyNumberFormat="1" applyFont="1" applyFill="1" applyBorder="1"/>
    <xf numFmtId="49" fontId="12" fillId="3" borderId="11" xfId="0" applyNumberFormat="1" applyFont="1" applyFill="1" applyBorder="1"/>
    <xf numFmtId="0" fontId="13" fillId="5" borderId="11" xfId="0" applyFont="1" applyFill="1" applyBorder="1"/>
    <xf numFmtId="49" fontId="9" fillId="5" borderId="11" xfId="0" applyNumberFormat="1" applyFont="1" applyFill="1" applyBorder="1"/>
    <xf numFmtId="49" fontId="8" fillId="5" borderId="11" xfId="0" applyNumberFormat="1" applyFont="1" applyFill="1" applyBorder="1"/>
    <xf numFmtId="49" fontId="7" fillId="5" borderId="11" xfId="0" applyNumberFormat="1" applyFont="1" applyFill="1" applyBorder="1"/>
    <xf numFmtId="49" fontId="12" fillId="4" borderId="11" xfId="0" applyNumberFormat="1" applyFont="1" applyFill="1" applyBorder="1"/>
    <xf numFmtId="0" fontId="0" fillId="6" borderId="0" xfId="0" applyFill="1"/>
    <xf numFmtId="0" fontId="0" fillId="6" borderId="1" xfId="0" applyFill="1" applyBorder="1" applyAlignment="1">
      <alignment vertical="top" wrapText="1"/>
    </xf>
    <xf numFmtId="0" fontId="9" fillId="6" borderId="0" xfId="0" applyFont="1" applyFill="1"/>
    <xf numFmtId="0" fontId="0" fillId="6" borderId="0" xfId="0" applyFill="1" applyAlignment="1">
      <alignment horizontal="center"/>
    </xf>
    <xf numFmtId="0" fontId="0" fillId="6" borderId="11" xfId="0" applyFill="1" applyBorder="1"/>
    <xf numFmtId="0" fontId="8" fillId="6" borderId="0" xfId="0" applyFont="1" applyFill="1"/>
    <xf numFmtId="0" fontId="19" fillId="6" borderId="0" xfId="0" applyFont="1" applyFill="1"/>
    <xf numFmtId="0" fontId="13" fillId="0" borderId="11" xfId="0" applyFont="1" applyBorder="1"/>
    <xf numFmtId="49" fontId="6" fillId="0" borderId="8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49" fontId="6" fillId="0" borderId="24" xfId="0" applyNumberFormat="1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49" fontId="6" fillId="0" borderId="11" xfId="0" applyNumberFormat="1" applyFont="1" applyBorder="1" applyAlignment="1">
      <alignment horizontal="left" vertical="center" wrapText="1"/>
    </xf>
    <xf numFmtId="0" fontId="0" fillId="6" borderId="11" xfId="0" applyFill="1" applyBorder="1" applyAlignment="1">
      <alignment horizontal="left"/>
    </xf>
    <xf numFmtId="0" fontId="7" fillId="6" borderId="11" xfId="0" applyFont="1" applyFill="1" applyBorder="1" applyAlignment="1">
      <alignment horizontal="left"/>
    </xf>
    <xf numFmtId="0" fontId="20" fillId="0" borderId="0" xfId="0" applyFont="1"/>
    <xf numFmtId="0" fontId="21" fillId="6" borderId="11" xfId="0" applyFont="1" applyFill="1" applyBorder="1"/>
    <xf numFmtId="0" fontId="21" fillId="6" borderId="11" xfId="0" applyFont="1" applyFill="1" applyBorder="1" applyAlignment="1">
      <alignment horizontal="left"/>
    </xf>
    <xf numFmtId="0" fontId="21" fillId="0" borderId="11" xfId="0" applyFont="1" applyBorder="1"/>
    <xf numFmtId="0" fontId="7" fillId="5" borderId="11" xfId="0" applyFont="1" applyFill="1" applyBorder="1" applyAlignment="1">
      <alignment horizontal="center"/>
    </xf>
    <xf numFmtId="0" fontId="18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5" fillId="2" borderId="11" xfId="0" applyFont="1" applyFill="1" applyBorder="1" applyAlignment="1">
      <alignment horizontal="left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21" fillId="0" borderId="0" xfId="0" applyFont="1"/>
    <xf numFmtId="3" fontId="21" fillId="0" borderId="11" xfId="0" applyNumberFormat="1" applyFont="1" applyBorder="1"/>
    <xf numFmtId="0" fontId="21" fillId="0" borderId="11" xfId="0" applyFont="1" applyBorder="1" applyAlignment="1">
      <alignment horizontal="right"/>
    </xf>
    <xf numFmtId="0" fontId="0" fillId="0" borderId="11" xfId="0" applyBorder="1"/>
    <xf numFmtId="0" fontId="6" fillId="0" borderId="8" xfId="0" applyFont="1" applyBorder="1" applyAlignment="1">
      <alignment horizontal="left" vertical="center" wrapText="1"/>
    </xf>
    <xf numFmtId="0" fontId="0" fillId="0" borderId="10" xfId="0" applyBorder="1"/>
    <xf numFmtId="0" fontId="6" fillId="0" borderId="11" xfId="0" applyFont="1" applyBorder="1" applyAlignment="1">
      <alignment horizontal="left" vertical="center" wrapText="1"/>
    </xf>
    <xf numFmtId="0" fontId="0" fillId="0" borderId="14" xfId="0" applyBorder="1"/>
    <xf numFmtId="0" fontId="18" fillId="0" borderId="11" xfId="0" applyFont="1" applyBorder="1" applyAlignment="1">
      <alignment horizontal="left" vertical="center" wrapText="1"/>
    </xf>
    <xf numFmtId="0" fontId="5" fillId="2" borderId="11" xfId="0" applyFont="1" applyFill="1" applyBorder="1" applyAlignment="1">
      <alignment horizontal="left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6" fillId="0" borderId="24" xfId="0" applyFont="1" applyBorder="1" applyAlignment="1">
      <alignment horizontal="left" vertical="center" wrapText="1"/>
    </xf>
    <xf numFmtId="0" fontId="0" fillId="0" borderId="7" xfId="0" applyBorder="1"/>
    <xf numFmtId="0" fontId="3" fillId="2" borderId="2" xfId="0" applyFont="1" applyFill="1" applyBorder="1" applyAlignment="1">
      <alignment horizontal="left" vertical="top" wrapText="1"/>
    </xf>
    <xf numFmtId="0" fontId="0" fillId="0" borderId="9" xfId="0" applyBorder="1"/>
    <xf numFmtId="0" fontId="4" fillId="2" borderId="5" xfId="0" applyFont="1" applyFill="1" applyBorder="1" applyAlignment="1">
      <alignment horizontal="left" vertical="top" wrapText="1"/>
    </xf>
    <xf numFmtId="0" fontId="0" fillId="0" borderId="0" xfId="0"/>
    <xf numFmtId="0" fontId="0" fillId="0" borderId="5" xfId="0" applyBorder="1"/>
    <xf numFmtId="0" fontId="4" fillId="2" borderId="7" xfId="0" applyFont="1" applyFill="1" applyBorder="1" applyAlignment="1">
      <alignment horizontal="left" vertical="top" wrapText="1"/>
    </xf>
    <xf numFmtId="0" fontId="0" fillId="0" borderId="1" xfId="0" applyBorder="1"/>
    <xf numFmtId="0" fontId="0" fillId="0" borderId="0" xfId="0" applyAlignment="1">
      <alignment horizontal="left" indent="1"/>
    </xf>
    <xf numFmtId="0" fontId="3" fillId="2" borderId="3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3" fillId="2" borderId="4" xfId="0" applyFont="1" applyFill="1" applyBorder="1" applyAlignment="1">
      <alignment horizontal="left" vertical="top" wrapText="1"/>
    </xf>
    <xf numFmtId="0" fontId="0" fillId="0" borderId="4" xfId="0" applyBorder="1"/>
    <xf numFmtId="0" fontId="4" fillId="2" borderId="3" xfId="0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left" indent="6"/>
    </xf>
    <xf numFmtId="0" fontId="3" fillId="2" borderId="5" xfId="0" applyFont="1" applyFill="1" applyBorder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49" fontId="8" fillId="5" borderId="11" xfId="0" applyNumberFormat="1" applyFont="1" applyFill="1" applyBorder="1" applyAlignment="1">
      <alignment horizontal="left"/>
    </xf>
    <xf numFmtId="0" fontId="0" fillId="0" borderId="13" xfId="0" applyBorder="1"/>
    <xf numFmtId="49" fontId="7" fillId="5" borderId="11" xfId="0" applyNumberFormat="1" applyFont="1" applyFill="1" applyBorder="1" applyAlignment="1">
      <alignment horizontal="left"/>
    </xf>
    <xf numFmtId="0" fontId="7" fillId="0" borderId="11" xfId="0" applyFont="1" applyBorder="1" applyAlignment="1">
      <alignment horizontal="left"/>
    </xf>
    <xf numFmtId="0" fontId="0" fillId="5" borderId="11" xfId="0" applyFill="1" applyBorder="1" applyAlignment="1">
      <alignment horizontal="left"/>
    </xf>
    <xf numFmtId="49" fontId="12" fillId="4" borderId="11" xfId="0" applyNumberFormat="1" applyFont="1" applyFill="1" applyBorder="1" applyAlignment="1">
      <alignment horizontal="left"/>
    </xf>
    <xf numFmtId="0" fontId="12" fillId="4" borderId="11" xfId="0" applyFont="1" applyFill="1" applyBorder="1" applyAlignment="1">
      <alignment horizontal="left"/>
    </xf>
    <xf numFmtId="49" fontId="17" fillId="3" borderId="11" xfId="0" applyNumberFormat="1" applyFont="1" applyFill="1" applyBorder="1" applyAlignment="1">
      <alignment horizontal="left"/>
    </xf>
    <xf numFmtId="0" fontId="7" fillId="5" borderId="11" xfId="0" applyFont="1" applyFill="1" applyBorder="1" applyAlignment="1">
      <alignment horizontal="left"/>
    </xf>
    <xf numFmtId="0" fontId="7" fillId="5" borderId="11" xfId="0" applyFont="1" applyFill="1" applyBorder="1" applyAlignment="1">
      <alignment horizontal="center"/>
    </xf>
    <xf numFmtId="0" fontId="11" fillId="3" borderId="11" xfId="0" applyFont="1" applyFill="1" applyBorder="1" applyAlignment="1">
      <alignment horizontal="center"/>
    </xf>
    <xf numFmtId="49" fontId="12" fillId="3" borderId="11" xfId="0" applyNumberFormat="1" applyFont="1" applyFill="1" applyBorder="1" applyAlignment="1">
      <alignment horizontal="left"/>
    </xf>
    <xf numFmtId="0" fontId="2" fillId="6" borderId="0" xfId="0" applyFont="1" applyFill="1" applyAlignment="1">
      <alignment horizontal="center" vertical="top" wrapText="1"/>
    </xf>
    <xf numFmtId="0" fontId="0" fillId="6" borderId="0" xfId="0" applyFill="1"/>
    <xf numFmtId="0" fontId="0" fillId="6" borderId="0" xfId="0" applyFill="1" applyAlignment="1">
      <alignment horizontal="left" indent="1"/>
    </xf>
    <xf numFmtId="0" fontId="0" fillId="6" borderId="0" xfId="0" applyFill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0" fontId="1" fillId="6" borderId="0" xfId="0" applyFont="1" applyFill="1" applyAlignment="1">
      <alignment horizontal="center" vertical="top" wrapText="1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8" fillId="0" borderId="12" xfId="0" applyFont="1" applyBorder="1" applyAlignment="1">
      <alignment horizontal="left"/>
    </xf>
    <xf numFmtId="0" fontId="8" fillId="0" borderId="13" xfId="0" applyFont="1" applyBorder="1" applyAlignment="1">
      <alignment horizontal="left"/>
    </xf>
    <xf numFmtId="0" fontId="8" fillId="0" borderId="14" xfId="0" applyFont="1" applyBorder="1" applyAlignment="1">
      <alignment horizontal="left"/>
    </xf>
    <xf numFmtId="0" fontId="0" fillId="0" borderId="11" xfId="0" applyBorder="1" applyAlignment="1">
      <alignment horizontal="left"/>
    </xf>
    <xf numFmtId="0" fontId="7" fillId="5" borderId="11" xfId="0" applyFont="1" applyFill="1" applyBorder="1" applyAlignment="1">
      <alignment horizontal="left" wrapText="1"/>
    </xf>
    <xf numFmtId="0" fontId="0" fillId="5" borderId="17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5" borderId="19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5" borderId="20" xfId="0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0" fontId="7" fillId="5" borderId="16" xfId="0" applyFont="1" applyFill="1" applyBorder="1" applyAlignment="1">
      <alignment horizontal="center" wrapText="1"/>
    </xf>
    <xf numFmtId="17" fontId="0" fillId="5" borderId="11" xfId="0" applyNumberFormat="1" applyFill="1" applyBorder="1" applyAlignment="1">
      <alignment horizontal="center"/>
    </xf>
    <xf numFmtId="0" fontId="21" fillId="6" borderId="11" xfId="0" applyFont="1" applyFill="1" applyBorder="1" applyAlignment="1">
      <alignment horizontal="right"/>
    </xf>
    <xf numFmtId="3" fontId="21" fillId="0" borderId="1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169830</xdr:colOff>
      <xdr:row>0</xdr:row>
      <xdr:rowOff>0</xdr:rowOff>
    </xdr:from>
    <xdr:ext cx="1169098" cy="667499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169830</xdr:colOff>
      <xdr:row>0</xdr:row>
      <xdr:rowOff>0</xdr:rowOff>
    </xdr:from>
    <xdr:ext cx="1490939" cy="851255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830" y="0"/>
          <a:ext cx="1490939" cy="851255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111703</xdr:colOff>
      <xdr:row>12</xdr:row>
      <xdr:rowOff>122093</xdr:rowOff>
    </xdr:from>
    <xdr:to>
      <xdr:col>11</xdr:col>
      <xdr:colOff>638175</xdr:colOff>
      <xdr:row>45</xdr:row>
      <xdr:rowOff>52077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703" y="2436668"/>
          <a:ext cx="8489372" cy="6216484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0</xdr:col>
      <xdr:colOff>169830</xdr:colOff>
      <xdr:row>0</xdr:row>
      <xdr:rowOff>0</xdr:rowOff>
    </xdr:from>
    <xdr:ext cx="1490939" cy="851255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9830" y="0"/>
          <a:ext cx="1490939" cy="851255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169830</xdr:colOff>
      <xdr:row>0</xdr:row>
      <xdr:rowOff>0</xdr:rowOff>
    </xdr:from>
    <xdr:ext cx="1490939" cy="851255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830" y="0"/>
          <a:ext cx="1490939" cy="851255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showGridLines="0" topLeftCell="A14" zoomScale="130" zoomScaleNormal="130" workbookViewId="0">
      <selection activeCell="D69" sqref="D69"/>
    </sheetView>
  </sheetViews>
  <sheetFormatPr baseColWidth="10" defaultColWidth="8.85546875" defaultRowHeight="15"/>
  <cols>
    <col min="1" max="1" width="19" customWidth="1"/>
    <col min="2" max="2" width="3.85546875" customWidth="1"/>
    <col min="3" max="3" width="36.42578125" customWidth="1"/>
    <col min="4" max="4" width="10.7109375" bestFit="1" customWidth="1"/>
    <col min="5" max="5" width="42.42578125" customWidth="1"/>
    <col min="6" max="6" width="3" customWidth="1"/>
    <col min="7" max="7" width="32.85546875" customWidth="1"/>
    <col min="8" max="8" width="5.28515625" customWidth="1"/>
    <col min="9" max="9" width="6.85546875" customWidth="1"/>
    <col min="10" max="10" width="5.28515625" customWidth="1"/>
    <col min="11" max="11" width="6.85546875" customWidth="1"/>
    <col min="12" max="12" width="7.42578125" customWidth="1"/>
    <col min="13" max="13" width="8.42578125" customWidth="1"/>
    <col min="14" max="14" width="2.28515625" customWidth="1"/>
  </cols>
  <sheetData>
    <row r="1" spans="1:14">
      <c r="A1" s="71"/>
      <c r="B1" s="65"/>
      <c r="C1" s="71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pans="1:14" ht="15.75" customHeight="1">
      <c r="C2" s="72" t="s">
        <v>0</v>
      </c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>
      <c r="C3" s="80" t="s">
        <v>1</v>
      </c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</row>
    <row r="4" spans="1:14">
      <c r="C4" s="80" t="s">
        <v>2</v>
      </c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</row>
    <row r="5" spans="1:14">
      <c r="C5" s="80" t="s">
        <v>3</v>
      </c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</row>
    <row r="6" spans="1:14">
      <c r="A6" s="1"/>
      <c r="B6" s="1"/>
      <c r="C6" s="77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</row>
    <row r="7" spans="1:14">
      <c r="A7" s="62" t="s">
        <v>4</v>
      </c>
      <c r="B7" s="63"/>
      <c r="C7" s="63"/>
      <c r="D7" s="63"/>
      <c r="E7" s="63"/>
      <c r="F7" s="63"/>
      <c r="G7" s="73" t="s">
        <v>5</v>
      </c>
      <c r="H7" s="63"/>
      <c r="I7" s="63"/>
      <c r="J7" s="63"/>
      <c r="K7" s="63"/>
      <c r="L7" s="63"/>
      <c r="M7" s="63"/>
      <c r="N7" s="74"/>
    </row>
    <row r="8" spans="1:14" ht="15.75" customHeight="1">
      <c r="A8" s="75" t="s">
        <v>6</v>
      </c>
      <c r="B8" s="65"/>
      <c r="C8" s="65"/>
      <c r="D8" s="65"/>
      <c r="E8" s="65"/>
      <c r="F8" s="65"/>
      <c r="G8" s="64" t="s">
        <v>7</v>
      </c>
      <c r="H8" s="65"/>
      <c r="I8" s="65"/>
      <c r="J8" s="65"/>
      <c r="K8" s="65"/>
      <c r="L8" s="65"/>
      <c r="M8" s="65"/>
      <c r="N8" s="66"/>
    </row>
    <row r="9" spans="1:14">
      <c r="A9" s="70" t="s">
        <v>8</v>
      </c>
      <c r="B9" s="65"/>
      <c r="C9" s="65"/>
      <c r="D9" s="65"/>
      <c r="E9" s="65"/>
      <c r="F9" s="65"/>
      <c r="G9" s="79" t="s">
        <v>9</v>
      </c>
      <c r="H9" s="65"/>
      <c r="I9" s="65"/>
      <c r="J9" s="65"/>
      <c r="K9" s="65"/>
      <c r="L9" s="65"/>
      <c r="M9" s="65"/>
      <c r="N9" s="66"/>
    </row>
    <row r="10" spans="1:14" ht="15.75" customHeight="1">
      <c r="A10" s="76" t="s">
        <v>10</v>
      </c>
      <c r="B10" s="68"/>
      <c r="C10" s="68"/>
      <c r="D10" s="68"/>
      <c r="E10" s="68"/>
      <c r="F10" s="68"/>
      <c r="G10" s="67" t="s">
        <v>11</v>
      </c>
      <c r="H10" s="68"/>
      <c r="I10" s="68"/>
      <c r="J10" s="68"/>
      <c r="K10" s="68"/>
      <c r="L10" s="68"/>
      <c r="M10" s="68"/>
      <c r="N10" s="61"/>
    </row>
    <row r="11" spans="1:14">
      <c r="A11" s="69"/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</row>
    <row r="12" spans="1:14">
      <c r="A12" s="78" t="s">
        <v>12</v>
      </c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</row>
    <row r="13" spans="1:14" ht="22.5" customHeight="1">
      <c r="A13" s="47" t="s">
        <v>13</v>
      </c>
      <c r="B13" s="58" t="s">
        <v>14</v>
      </c>
      <c r="C13" s="56"/>
      <c r="D13" s="47" t="s">
        <v>15</v>
      </c>
      <c r="E13" s="47" t="s">
        <v>16</v>
      </c>
      <c r="F13" s="59" t="s">
        <v>17</v>
      </c>
      <c r="G13" s="56"/>
      <c r="H13" s="48" t="s">
        <v>18</v>
      </c>
      <c r="I13" s="48" t="s">
        <v>19</v>
      </c>
      <c r="J13" s="48" t="s">
        <v>20</v>
      </c>
      <c r="K13" s="48" t="s">
        <v>21</v>
      </c>
      <c r="L13" s="48" t="s">
        <v>22</v>
      </c>
      <c r="M13" s="59" t="s">
        <v>23</v>
      </c>
      <c r="N13" s="56"/>
    </row>
    <row r="14" spans="1:14" ht="15" customHeight="1">
      <c r="A14" s="46" t="s">
        <v>24</v>
      </c>
      <c r="B14" s="55" t="s">
        <v>25</v>
      </c>
      <c r="C14" s="56"/>
      <c r="D14" s="46">
        <v>3041</v>
      </c>
      <c r="E14" s="46" t="str">
        <f t="shared" ref="E14:E45" si="0">_xlfn.CONCAT(A14," - ",D14," - ",B14)</f>
        <v>0000053772 - 3041 - ALVAREZ REYES LEONARDO DE JESUS</v>
      </c>
      <c r="F14" s="55" t="s">
        <v>26</v>
      </c>
      <c r="G14" s="56"/>
      <c r="H14" s="46" t="s">
        <v>27</v>
      </c>
      <c r="I14" s="46" t="s">
        <v>28</v>
      </c>
      <c r="J14" s="46" t="s">
        <v>28</v>
      </c>
      <c r="K14" s="46" t="s">
        <v>28</v>
      </c>
      <c r="L14" s="46" t="s">
        <v>28</v>
      </c>
      <c r="M14" s="55" t="s">
        <v>29</v>
      </c>
      <c r="N14" s="56"/>
    </row>
    <row r="15" spans="1:14" ht="15" customHeight="1">
      <c r="A15" s="46" t="s">
        <v>30</v>
      </c>
      <c r="B15" s="55" t="s">
        <v>31</v>
      </c>
      <c r="C15" s="56"/>
      <c r="D15" s="46">
        <v>3041</v>
      </c>
      <c r="E15" s="46" t="str">
        <f t="shared" si="0"/>
        <v>0000055648 - 3041 - CABRALES PABON CAMILO ANDRES</v>
      </c>
      <c r="F15" s="55" t="s">
        <v>32</v>
      </c>
      <c r="G15" s="56"/>
      <c r="H15" s="46" t="s">
        <v>27</v>
      </c>
      <c r="I15" s="46" t="s">
        <v>28</v>
      </c>
      <c r="J15" s="46" t="s">
        <v>28</v>
      </c>
      <c r="K15" s="46" t="s">
        <v>28</v>
      </c>
      <c r="L15" s="46" t="s">
        <v>28</v>
      </c>
      <c r="M15" s="55" t="s">
        <v>29</v>
      </c>
      <c r="N15" s="56"/>
    </row>
    <row r="16" spans="1:14" ht="15" customHeight="1">
      <c r="A16" s="46" t="s">
        <v>33</v>
      </c>
      <c r="B16" s="55" t="s">
        <v>34</v>
      </c>
      <c r="C16" s="56"/>
      <c r="D16" s="46">
        <v>3041</v>
      </c>
      <c r="E16" s="46" t="str">
        <f t="shared" si="0"/>
        <v>0000054119 - 3041 - CASTAÑO GALLARDO RUBEN DARIO</v>
      </c>
      <c r="F16" s="55" t="s">
        <v>35</v>
      </c>
      <c r="G16" s="56"/>
      <c r="H16" s="46" t="s">
        <v>27</v>
      </c>
      <c r="I16" s="46" t="s">
        <v>28</v>
      </c>
      <c r="J16" s="46" t="s">
        <v>28</v>
      </c>
      <c r="K16" s="46" t="s">
        <v>28</v>
      </c>
      <c r="L16" s="46" t="s">
        <v>28</v>
      </c>
      <c r="M16" s="55" t="s">
        <v>29</v>
      </c>
      <c r="N16" s="56"/>
    </row>
    <row r="17" spans="1:14" ht="15" customHeight="1">
      <c r="A17" s="46" t="s">
        <v>36</v>
      </c>
      <c r="B17" s="57" t="s">
        <v>37</v>
      </c>
      <c r="C17" s="56"/>
      <c r="D17" s="46">
        <v>3041</v>
      </c>
      <c r="E17" s="46" t="str">
        <f t="shared" si="0"/>
        <v>0000046654 - 3041 - CASTILLO CABALLERO OSCAR DAVID</v>
      </c>
      <c r="F17" s="55" t="s">
        <v>38</v>
      </c>
      <c r="G17" s="56"/>
      <c r="H17" s="46" t="s">
        <v>27</v>
      </c>
      <c r="I17" s="46" t="s">
        <v>28</v>
      </c>
      <c r="J17" s="46" t="s">
        <v>28</v>
      </c>
      <c r="K17" s="46" t="s">
        <v>28</v>
      </c>
      <c r="L17" s="46" t="s">
        <v>28</v>
      </c>
      <c r="M17" s="55" t="s">
        <v>29</v>
      </c>
      <c r="N17" s="56"/>
    </row>
    <row r="18" spans="1:14" ht="15" customHeight="1">
      <c r="A18" s="46" t="s">
        <v>39</v>
      </c>
      <c r="B18" s="55" t="s">
        <v>40</v>
      </c>
      <c r="C18" s="56"/>
      <c r="D18" s="46">
        <v>3041</v>
      </c>
      <c r="E18" s="46" t="str">
        <f t="shared" si="0"/>
        <v>0000054621 - 3041 - DE LA ROSA BANQUEZ CARLOS ALBERTO</v>
      </c>
      <c r="F18" s="55" t="s">
        <v>41</v>
      </c>
      <c r="G18" s="56"/>
      <c r="H18" s="46" t="s">
        <v>27</v>
      </c>
      <c r="I18" s="46" t="s">
        <v>28</v>
      </c>
      <c r="J18" s="46" t="s">
        <v>28</v>
      </c>
      <c r="K18" s="46" t="s">
        <v>28</v>
      </c>
      <c r="L18" s="46" t="s">
        <v>28</v>
      </c>
      <c r="M18" s="55" t="s">
        <v>29</v>
      </c>
      <c r="N18" s="56"/>
    </row>
    <row r="19" spans="1:14" ht="15" customHeight="1">
      <c r="A19" s="46" t="s">
        <v>42</v>
      </c>
      <c r="B19" s="55" t="s">
        <v>43</v>
      </c>
      <c r="C19" s="56"/>
      <c r="D19" s="46">
        <v>3041</v>
      </c>
      <c r="E19" s="46" t="str">
        <f t="shared" si="0"/>
        <v>0000054596 - 3041 - DIAZ CASTRO CARLOS JOSÉ</v>
      </c>
      <c r="F19" s="55" t="s">
        <v>44</v>
      </c>
      <c r="G19" s="56"/>
      <c r="H19" s="46" t="s">
        <v>27</v>
      </c>
      <c r="I19" s="46" t="s">
        <v>28</v>
      </c>
      <c r="J19" s="46" t="s">
        <v>28</v>
      </c>
      <c r="K19" s="46" t="s">
        <v>28</v>
      </c>
      <c r="L19" s="46" t="s">
        <v>28</v>
      </c>
      <c r="M19" s="55" t="s">
        <v>29</v>
      </c>
      <c r="N19" s="56"/>
    </row>
    <row r="20" spans="1:14" ht="15" customHeight="1">
      <c r="A20" s="46" t="s">
        <v>45</v>
      </c>
      <c r="B20" s="55" t="s">
        <v>46</v>
      </c>
      <c r="C20" s="56"/>
      <c r="D20" s="46">
        <v>3041</v>
      </c>
      <c r="E20" s="46" t="str">
        <f t="shared" si="0"/>
        <v>0000053697 - 3041 - DIAZ LOPEZ DIANA MARCELA</v>
      </c>
      <c r="F20" s="55" t="s">
        <v>47</v>
      </c>
      <c r="G20" s="56"/>
      <c r="H20" s="46" t="s">
        <v>27</v>
      </c>
      <c r="I20" s="46" t="s">
        <v>28</v>
      </c>
      <c r="J20" s="46" t="s">
        <v>28</v>
      </c>
      <c r="K20" s="46" t="s">
        <v>28</v>
      </c>
      <c r="L20" s="46" t="s">
        <v>28</v>
      </c>
      <c r="M20" s="55" t="s">
        <v>29</v>
      </c>
      <c r="N20" s="56"/>
    </row>
    <row r="21" spans="1:14" ht="15" customHeight="1">
      <c r="A21" s="46" t="s">
        <v>48</v>
      </c>
      <c r="B21" s="55" t="s">
        <v>49</v>
      </c>
      <c r="C21" s="56"/>
      <c r="D21" s="46">
        <v>3041</v>
      </c>
      <c r="E21" s="46" t="str">
        <f t="shared" si="0"/>
        <v>0000055745 - 3041 - GUTIERREZ MEZA JUAN DAVID</v>
      </c>
      <c r="F21" s="55" t="s">
        <v>50</v>
      </c>
      <c r="G21" s="56"/>
      <c r="H21" s="46" t="s">
        <v>27</v>
      </c>
      <c r="I21" s="46" t="s">
        <v>28</v>
      </c>
      <c r="J21" s="46" t="s">
        <v>28</v>
      </c>
      <c r="K21" s="46" t="s">
        <v>28</v>
      </c>
      <c r="L21" s="46" t="s">
        <v>28</v>
      </c>
      <c r="M21" s="55" t="s">
        <v>29</v>
      </c>
      <c r="N21" s="56"/>
    </row>
    <row r="22" spans="1:14" ht="15" customHeight="1">
      <c r="A22" s="46" t="s">
        <v>51</v>
      </c>
      <c r="B22" s="55" t="s">
        <v>52</v>
      </c>
      <c r="C22" s="56"/>
      <c r="D22" s="46">
        <v>3041</v>
      </c>
      <c r="E22" s="46" t="str">
        <f t="shared" si="0"/>
        <v>0000054144 - 3041 - HERNANDEZ CAREY EDY ANDRES</v>
      </c>
      <c r="F22" s="55" t="s">
        <v>53</v>
      </c>
      <c r="G22" s="56"/>
      <c r="H22" s="46" t="s">
        <v>27</v>
      </c>
      <c r="I22" s="46" t="s">
        <v>28</v>
      </c>
      <c r="J22" s="46" t="s">
        <v>28</v>
      </c>
      <c r="K22" s="46" t="s">
        <v>28</v>
      </c>
      <c r="L22" s="46" t="s">
        <v>28</v>
      </c>
      <c r="M22" s="55" t="s">
        <v>29</v>
      </c>
      <c r="N22" s="56"/>
    </row>
    <row r="23" spans="1:14" ht="15" customHeight="1">
      <c r="A23" s="46" t="s">
        <v>54</v>
      </c>
      <c r="B23" s="55" t="s">
        <v>55</v>
      </c>
      <c r="C23" s="56"/>
      <c r="D23" s="46">
        <v>3041</v>
      </c>
      <c r="E23" s="46" t="str">
        <f t="shared" si="0"/>
        <v>0000040134 - 3041 - HERRERA ARRIETA LUIS ABEL</v>
      </c>
      <c r="F23" s="55" t="s">
        <v>56</v>
      </c>
      <c r="G23" s="56"/>
      <c r="H23" s="46" t="s">
        <v>27</v>
      </c>
      <c r="I23" s="46" t="s">
        <v>28</v>
      </c>
      <c r="J23" s="46" t="s">
        <v>28</v>
      </c>
      <c r="K23" s="46" t="s">
        <v>28</v>
      </c>
      <c r="L23" s="46" t="s">
        <v>28</v>
      </c>
      <c r="M23" s="55" t="s">
        <v>29</v>
      </c>
      <c r="N23" s="56"/>
    </row>
    <row r="24" spans="1:14" ht="15" customHeight="1">
      <c r="A24" s="46" t="s">
        <v>57</v>
      </c>
      <c r="B24" s="55" t="s">
        <v>58</v>
      </c>
      <c r="C24" s="56"/>
      <c r="D24" s="46">
        <v>3041</v>
      </c>
      <c r="E24" s="46" t="str">
        <f t="shared" si="0"/>
        <v>0000054712 - 3041 - MACHACON ARIAS SANTIAGO ENRIQUE</v>
      </c>
      <c r="F24" s="55" t="s">
        <v>59</v>
      </c>
      <c r="G24" s="56"/>
      <c r="H24" s="46" t="s">
        <v>27</v>
      </c>
      <c r="I24" s="46" t="s">
        <v>28</v>
      </c>
      <c r="J24" s="46" t="s">
        <v>28</v>
      </c>
      <c r="K24" s="46" t="s">
        <v>28</v>
      </c>
      <c r="L24" s="46" t="s">
        <v>28</v>
      </c>
      <c r="M24" s="55" t="s">
        <v>29</v>
      </c>
      <c r="N24" s="56"/>
    </row>
    <row r="25" spans="1:14" ht="15" customHeight="1">
      <c r="A25" s="46" t="s">
        <v>60</v>
      </c>
      <c r="B25" s="55" t="s">
        <v>61</v>
      </c>
      <c r="C25" s="56"/>
      <c r="D25" s="46">
        <v>3041</v>
      </c>
      <c r="E25" s="46" t="str">
        <f t="shared" si="0"/>
        <v>0000053914 - 3041 - MEJÍA PATERNINA RAFAEL JUNIOR</v>
      </c>
      <c r="F25" s="55" t="s">
        <v>62</v>
      </c>
      <c r="G25" s="56"/>
      <c r="H25" s="46" t="s">
        <v>27</v>
      </c>
      <c r="I25" s="46" t="s">
        <v>28</v>
      </c>
      <c r="J25" s="46" t="s">
        <v>28</v>
      </c>
      <c r="K25" s="46" t="s">
        <v>28</v>
      </c>
      <c r="L25" s="46" t="s">
        <v>28</v>
      </c>
      <c r="M25" s="55" t="s">
        <v>29</v>
      </c>
      <c r="N25" s="56"/>
    </row>
    <row r="26" spans="1:14" ht="15" customHeight="1">
      <c r="A26" s="46" t="s">
        <v>63</v>
      </c>
      <c r="B26" s="55" t="s">
        <v>64</v>
      </c>
      <c r="C26" s="56"/>
      <c r="D26" s="46">
        <v>3041</v>
      </c>
      <c r="E26" s="46" t="str">
        <f t="shared" si="0"/>
        <v>0000053762 - 3041 - MENDOZA ARIAS JOEL JOSE</v>
      </c>
      <c r="F26" s="55" t="s">
        <v>65</v>
      </c>
      <c r="G26" s="56"/>
      <c r="H26" s="46" t="s">
        <v>27</v>
      </c>
      <c r="I26" s="46" t="s">
        <v>28</v>
      </c>
      <c r="J26" s="46" t="s">
        <v>28</v>
      </c>
      <c r="K26" s="46" t="s">
        <v>28</v>
      </c>
      <c r="L26" s="46" t="s">
        <v>28</v>
      </c>
      <c r="M26" s="55" t="s">
        <v>29</v>
      </c>
      <c r="N26" s="56"/>
    </row>
    <row r="27" spans="1:14" ht="15" customHeight="1">
      <c r="A27" s="46" t="s">
        <v>66</v>
      </c>
      <c r="B27" s="55" t="s">
        <v>67</v>
      </c>
      <c r="C27" s="56"/>
      <c r="D27" s="46">
        <v>3041</v>
      </c>
      <c r="E27" s="46" t="str">
        <f t="shared" si="0"/>
        <v>0000055299 - 3041 - MESINO TONO FERNANDO JOSE</v>
      </c>
      <c r="F27" s="55" t="s">
        <v>68</v>
      </c>
      <c r="G27" s="56"/>
      <c r="H27" s="46" t="s">
        <v>27</v>
      </c>
      <c r="I27" s="46" t="s">
        <v>28</v>
      </c>
      <c r="J27" s="46" t="s">
        <v>28</v>
      </c>
      <c r="K27" s="46" t="s">
        <v>28</v>
      </c>
      <c r="L27" s="46" t="s">
        <v>28</v>
      </c>
      <c r="M27" s="55" t="s">
        <v>29</v>
      </c>
      <c r="N27" s="56"/>
    </row>
    <row r="28" spans="1:14" ht="15" customHeight="1">
      <c r="A28" s="46" t="s">
        <v>69</v>
      </c>
      <c r="B28" s="55" t="s">
        <v>70</v>
      </c>
      <c r="C28" s="56"/>
      <c r="D28" s="46">
        <v>3041</v>
      </c>
      <c r="E28" s="46" t="str">
        <f t="shared" si="0"/>
        <v>0000061254 - 3041 - MORELOS AMARIS BRYAN DE JESUS</v>
      </c>
      <c r="F28" s="55" t="s">
        <v>71</v>
      </c>
      <c r="G28" s="56"/>
      <c r="H28" s="46" t="s">
        <v>27</v>
      </c>
      <c r="I28" s="46" t="s">
        <v>28</v>
      </c>
      <c r="J28" s="46" t="s">
        <v>28</v>
      </c>
      <c r="K28" s="46" t="s">
        <v>28</v>
      </c>
      <c r="L28" s="46" t="s">
        <v>28</v>
      </c>
      <c r="M28" s="55" t="s">
        <v>29</v>
      </c>
      <c r="N28" s="56"/>
    </row>
    <row r="29" spans="1:14" ht="15" customHeight="1">
      <c r="A29" s="46" t="s">
        <v>72</v>
      </c>
      <c r="B29" s="55" t="s">
        <v>73</v>
      </c>
      <c r="C29" s="56"/>
      <c r="D29" s="46">
        <v>3041</v>
      </c>
      <c r="E29" s="46" t="str">
        <f t="shared" si="0"/>
        <v>0000055014 - 3041 - NUÑEZ CABARCAS YOIMER</v>
      </c>
      <c r="F29" s="55" t="s">
        <v>74</v>
      </c>
      <c r="G29" s="56"/>
      <c r="H29" s="46" t="s">
        <v>27</v>
      </c>
      <c r="I29" s="46" t="s">
        <v>28</v>
      </c>
      <c r="J29" s="46" t="s">
        <v>28</v>
      </c>
      <c r="K29" s="46" t="s">
        <v>28</v>
      </c>
      <c r="L29" s="46" t="s">
        <v>28</v>
      </c>
      <c r="M29" s="55" t="s">
        <v>29</v>
      </c>
      <c r="N29" s="56"/>
    </row>
    <row r="30" spans="1:14" ht="15" customHeight="1">
      <c r="A30" s="46" t="s">
        <v>75</v>
      </c>
      <c r="B30" s="55" t="s">
        <v>76</v>
      </c>
      <c r="C30" s="56"/>
      <c r="D30" s="46">
        <v>3041</v>
      </c>
      <c r="E30" s="46" t="str">
        <f t="shared" si="0"/>
        <v>0000054071 - 3041 - OLMOS CAICEDO PABLO</v>
      </c>
      <c r="F30" s="55" t="s">
        <v>77</v>
      </c>
      <c r="G30" s="56"/>
      <c r="H30" s="46" t="s">
        <v>27</v>
      </c>
      <c r="I30" s="46" t="s">
        <v>28</v>
      </c>
      <c r="J30" s="46" t="s">
        <v>28</v>
      </c>
      <c r="K30" s="46" t="s">
        <v>28</v>
      </c>
      <c r="L30" s="46" t="s">
        <v>28</v>
      </c>
      <c r="M30" s="55" t="s">
        <v>29</v>
      </c>
      <c r="N30" s="56"/>
    </row>
    <row r="31" spans="1:14" ht="15" customHeight="1">
      <c r="A31" s="46" t="s">
        <v>78</v>
      </c>
      <c r="B31" s="55" t="s">
        <v>79</v>
      </c>
      <c r="C31" s="56"/>
      <c r="D31" s="46">
        <v>3041</v>
      </c>
      <c r="E31" s="46" t="str">
        <f t="shared" si="0"/>
        <v>0000054073 - 3041 - OROZCO MEZA LUIS GUILLERMO</v>
      </c>
      <c r="F31" s="55" t="s">
        <v>80</v>
      </c>
      <c r="G31" s="56"/>
      <c r="H31" s="46" t="s">
        <v>27</v>
      </c>
      <c r="I31" s="46" t="s">
        <v>28</v>
      </c>
      <c r="J31" s="46" t="s">
        <v>28</v>
      </c>
      <c r="K31" s="46" t="s">
        <v>28</v>
      </c>
      <c r="L31" s="46" t="s">
        <v>28</v>
      </c>
      <c r="M31" s="55" t="s">
        <v>29</v>
      </c>
      <c r="N31" s="56"/>
    </row>
    <row r="32" spans="1:14" ht="15" customHeight="1">
      <c r="A32" s="46" t="s">
        <v>81</v>
      </c>
      <c r="B32" s="55" t="s">
        <v>82</v>
      </c>
      <c r="C32" s="56"/>
      <c r="D32" s="46">
        <v>3041</v>
      </c>
      <c r="E32" s="46" t="str">
        <f t="shared" si="0"/>
        <v>0000053588 - 3041 - PAEZ PEREZ ALEJANDRO</v>
      </c>
      <c r="F32" s="55" t="s">
        <v>83</v>
      </c>
      <c r="G32" s="56"/>
      <c r="H32" s="46" t="s">
        <v>27</v>
      </c>
      <c r="I32" s="46" t="s">
        <v>28</v>
      </c>
      <c r="J32" s="46" t="s">
        <v>28</v>
      </c>
      <c r="K32" s="46" t="s">
        <v>28</v>
      </c>
      <c r="L32" s="46" t="s">
        <v>28</v>
      </c>
      <c r="M32" s="55" t="s">
        <v>29</v>
      </c>
      <c r="N32" s="56"/>
    </row>
    <row r="33" spans="1:14" ht="15" customHeight="1">
      <c r="A33" s="46" t="s">
        <v>84</v>
      </c>
      <c r="B33" s="55" t="s">
        <v>85</v>
      </c>
      <c r="C33" s="56"/>
      <c r="D33" s="46">
        <v>3041</v>
      </c>
      <c r="E33" s="46" t="str">
        <f t="shared" si="0"/>
        <v>0000053681 - 3041 - RANGEL VIDES ADRIAN DE JESUS</v>
      </c>
      <c r="F33" s="55" t="s">
        <v>86</v>
      </c>
      <c r="G33" s="56"/>
      <c r="H33" s="46" t="s">
        <v>27</v>
      </c>
      <c r="I33" s="46" t="s">
        <v>28</v>
      </c>
      <c r="J33" s="46" t="s">
        <v>28</v>
      </c>
      <c r="K33" s="46" t="s">
        <v>28</v>
      </c>
      <c r="L33" s="46" t="s">
        <v>28</v>
      </c>
      <c r="M33" s="55" t="s">
        <v>29</v>
      </c>
      <c r="N33" s="56"/>
    </row>
    <row r="34" spans="1:14" ht="15" customHeight="1">
      <c r="A34" s="46" t="s">
        <v>87</v>
      </c>
      <c r="B34" s="55" t="s">
        <v>88</v>
      </c>
      <c r="C34" s="56"/>
      <c r="D34" s="46">
        <v>3041</v>
      </c>
      <c r="E34" s="46" t="str">
        <f t="shared" si="0"/>
        <v>0000054180 - 3041 - REYES PADILLA DAVID ANDRES</v>
      </c>
      <c r="F34" s="55" t="s">
        <v>89</v>
      </c>
      <c r="G34" s="56"/>
      <c r="H34" s="46" t="s">
        <v>27</v>
      </c>
      <c r="I34" s="46" t="s">
        <v>28</v>
      </c>
      <c r="J34" s="46" t="s">
        <v>28</v>
      </c>
      <c r="K34" s="46" t="s">
        <v>28</v>
      </c>
      <c r="L34" s="46" t="s">
        <v>28</v>
      </c>
      <c r="M34" s="55" t="s">
        <v>29</v>
      </c>
      <c r="N34" s="56"/>
    </row>
    <row r="35" spans="1:14" ht="15" customHeight="1">
      <c r="A35" s="46" t="s">
        <v>90</v>
      </c>
      <c r="B35" s="55" t="s">
        <v>91</v>
      </c>
      <c r="C35" s="56"/>
      <c r="D35" s="46">
        <v>3041</v>
      </c>
      <c r="E35" s="46" t="str">
        <f t="shared" si="0"/>
        <v>0000053816 - 3041 - RODRIGUEZ GARCIA KEYLA ROSA</v>
      </c>
      <c r="F35" s="55" t="s">
        <v>92</v>
      </c>
      <c r="G35" s="56"/>
      <c r="H35" s="46" t="s">
        <v>27</v>
      </c>
      <c r="I35" s="46" t="s">
        <v>28</v>
      </c>
      <c r="J35" s="46" t="s">
        <v>28</v>
      </c>
      <c r="K35" s="46" t="s">
        <v>28</v>
      </c>
      <c r="L35" s="46" t="s">
        <v>28</v>
      </c>
      <c r="M35" s="55" t="s">
        <v>29</v>
      </c>
      <c r="N35" s="56"/>
    </row>
    <row r="36" spans="1:14" ht="15" customHeight="1">
      <c r="A36" s="46" t="s">
        <v>93</v>
      </c>
      <c r="B36" s="55" t="s">
        <v>94</v>
      </c>
      <c r="C36" s="56"/>
      <c r="D36" s="46">
        <v>3041</v>
      </c>
      <c r="E36" s="46" t="str">
        <f t="shared" si="0"/>
        <v>0000054545 - 3041 - TOSCANO DAVILA SAITH RAFAEL</v>
      </c>
      <c r="F36" s="55" t="s">
        <v>95</v>
      </c>
      <c r="G36" s="56"/>
      <c r="H36" s="46" t="s">
        <v>27</v>
      </c>
      <c r="I36" s="46" t="s">
        <v>28</v>
      </c>
      <c r="J36" s="46" t="s">
        <v>28</v>
      </c>
      <c r="K36" s="46" t="s">
        <v>28</v>
      </c>
      <c r="L36" s="46" t="s">
        <v>28</v>
      </c>
      <c r="M36" s="55" t="s">
        <v>29</v>
      </c>
      <c r="N36" s="56"/>
    </row>
    <row r="37" spans="1:14" ht="15" customHeight="1">
      <c r="A37" s="46" t="s">
        <v>96</v>
      </c>
      <c r="B37" s="55" t="s">
        <v>97</v>
      </c>
      <c r="C37" s="56"/>
      <c r="D37" s="46">
        <v>3041</v>
      </c>
      <c r="E37" s="46" t="str">
        <f t="shared" si="0"/>
        <v>0000053275 - 3041 - VALDELAMAR CALDERA GABRIEL ELIAS</v>
      </c>
      <c r="F37" s="55" t="s">
        <v>98</v>
      </c>
      <c r="G37" s="56"/>
      <c r="H37" s="46" t="s">
        <v>27</v>
      </c>
      <c r="I37" s="46" t="s">
        <v>28</v>
      </c>
      <c r="J37" s="46" t="s">
        <v>28</v>
      </c>
      <c r="K37" s="46" t="s">
        <v>28</v>
      </c>
      <c r="L37" s="46" t="s">
        <v>28</v>
      </c>
      <c r="M37" s="55" t="s">
        <v>29</v>
      </c>
      <c r="N37" s="56"/>
    </row>
    <row r="38" spans="1:14" ht="15" customHeight="1">
      <c r="A38" s="46" t="s">
        <v>99</v>
      </c>
      <c r="B38" s="55" t="s">
        <v>100</v>
      </c>
      <c r="C38" s="56"/>
      <c r="D38" s="46">
        <v>3041</v>
      </c>
      <c r="E38" s="46" t="str">
        <f t="shared" si="0"/>
        <v>0000051889 - 3041 - VÁSQUEZ TORRES YONIER ALEJANDRO</v>
      </c>
      <c r="F38" s="55" t="s">
        <v>101</v>
      </c>
      <c r="G38" s="56"/>
      <c r="H38" s="46" t="s">
        <v>27</v>
      </c>
      <c r="I38" s="46" t="s">
        <v>28</v>
      </c>
      <c r="J38" s="46" t="s">
        <v>28</v>
      </c>
      <c r="K38" s="46" t="s">
        <v>28</v>
      </c>
      <c r="L38" s="46" t="s">
        <v>28</v>
      </c>
      <c r="M38" s="55" t="s">
        <v>29</v>
      </c>
      <c r="N38" s="56"/>
    </row>
    <row r="39" spans="1:14" ht="15" customHeight="1">
      <c r="A39" s="46" t="s">
        <v>102</v>
      </c>
      <c r="B39" s="55" t="s">
        <v>103</v>
      </c>
      <c r="C39" s="56"/>
      <c r="D39" s="46">
        <v>3041</v>
      </c>
      <c r="E39" s="46" t="str">
        <f t="shared" si="0"/>
        <v>0000055269 - 3041 - ZUÑIGA DAVILA JEISON ORLANDO</v>
      </c>
      <c r="F39" s="55" t="s">
        <v>104</v>
      </c>
      <c r="G39" s="56"/>
      <c r="H39" s="46" t="s">
        <v>27</v>
      </c>
      <c r="I39" s="46" t="s">
        <v>28</v>
      </c>
      <c r="J39" s="46" t="s">
        <v>28</v>
      </c>
      <c r="K39" s="46" t="s">
        <v>28</v>
      </c>
      <c r="L39" s="46" t="s">
        <v>28</v>
      </c>
      <c r="M39" s="55" t="s">
        <v>29</v>
      </c>
      <c r="N39" s="56"/>
    </row>
    <row r="40" spans="1:14" ht="15" customHeight="1">
      <c r="A40" s="37" t="s">
        <v>105</v>
      </c>
      <c r="B40" s="57" t="s">
        <v>106</v>
      </c>
      <c r="C40" s="56"/>
      <c r="D40" s="46">
        <v>3042</v>
      </c>
      <c r="E40" s="46" t="str">
        <f t="shared" si="0"/>
        <v>0000051603 - 3042 - ARRIETA SERJE LEIDER DAVID</v>
      </c>
      <c r="F40" s="57" t="s">
        <v>107</v>
      </c>
      <c r="G40" s="56"/>
      <c r="H40" s="45">
        <v>455</v>
      </c>
      <c r="I40" s="46" t="s">
        <v>28</v>
      </c>
      <c r="J40" s="46" t="s">
        <v>28</v>
      </c>
      <c r="K40" s="46" t="s">
        <v>28</v>
      </c>
      <c r="L40" s="46" t="s">
        <v>28</v>
      </c>
      <c r="M40" s="55"/>
      <c r="N40" s="56"/>
    </row>
    <row r="41" spans="1:14" ht="15" customHeight="1">
      <c r="A41" s="37" t="s">
        <v>108</v>
      </c>
      <c r="B41" s="57" t="s">
        <v>109</v>
      </c>
      <c r="C41" s="56"/>
      <c r="D41" s="46">
        <v>3042</v>
      </c>
      <c r="E41" s="46" t="str">
        <f t="shared" si="0"/>
        <v>0000053850 - 3042 - BARRIOS VILLAMIZAR JESUS DAVID</v>
      </c>
      <c r="F41" s="57" t="s">
        <v>110</v>
      </c>
      <c r="G41" s="56"/>
      <c r="H41" s="45">
        <v>455</v>
      </c>
      <c r="I41" s="46" t="s">
        <v>28</v>
      </c>
      <c r="J41" s="46" t="s">
        <v>28</v>
      </c>
      <c r="K41" s="46" t="s">
        <v>28</v>
      </c>
      <c r="L41" s="46" t="s">
        <v>28</v>
      </c>
      <c r="M41" s="55"/>
      <c r="N41" s="56"/>
    </row>
    <row r="42" spans="1:14" ht="15" customHeight="1">
      <c r="A42" s="37" t="s">
        <v>111</v>
      </c>
      <c r="B42" s="57" t="s">
        <v>112</v>
      </c>
      <c r="C42" s="56"/>
      <c r="D42" s="46">
        <v>3042</v>
      </c>
      <c r="E42" s="46" t="str">
        <f t="shared" si="0"/>
        <v>0000054879 - 3042 - BERRIO JULIO MILTON JOSE</v>
      </c>
      <c r="F42" s="57" t="s">
        <v>113</v>
      </c>
      <c r="G42" s="56"/>
      <c r="H42" s="45">
        <v>455</v>
      </c>
      <c r="I42" s="46" t="s">
        <v>28</v>
      </c>
      <c r="J42" s="46" t="s">
        <v>28</v>
      </c>
      <c r="K42" s="46" t="s">
        <v>28</v>
      </c>
      <c r="L42" s="46" t="s">
        <v>28</v>
      </c>
      <c r="M42" s="55"/>
      <c r="N42" s="56"/>
    </row>
    <row r="43" spans="1:14" ht="15" customHeight="1">
      <c r="A43" s="37" t="s">
        <v>114</v>
      </c>
      <c r="B43" s="57" t="s">
        <v>115</v>
      </c>
      <c r="C43" s="56"/>
      <c r="D43" s="46">
        <v>3042</v>
      </c>
      <c r="E43" s="46" t="str">
        <f t="shared" si="0"/>
        <v>0000048154 - 3042 - CAJIGAS MORALES JAIDER DAVID</v>
      </c>
      <c r="F43" s="57" t="s">
        <v>116</v>
      </c>
      <c r="G43" s="56"/>
      <c r="H43" s="45">
        <v>455</v>
      </c>
      <c r="I43" s="46" t="s">
        <v>28</v>
      </c>
      <c r="J43" s="46" t="s">
        <v>28</v>
      </c>
      <c r="K43" s="46" t="s">
        <v>28</v>
      </c>
      <c r="L43" s="46" t="s">
        <v>28</v>
      </c>
      <c r="M43" s="55"/>
      <c r="N43" s="56"/>
    </row>
    <row r="44" spans="1:14" ht="15" customHeight="1">
      <c r="A44" s="37" t="s">
        <v>117</v>
      </c>
      <c r="B44" s="57" t="s">
        <v>118</v>
      </c>
      <c r="C44" s="56"/>
      <c r="D44" s="46">
        <v>3042</v>
      </c>
      <c r="E44" s="46" t="str">
        <f t="shared" si="0"/>
        <v>0000055731 - 3042 - CANCIO MEZA JULIO CESAR</v>
      </c>
      <c r="F44" s="57" t="s">
        <v>119</v>
      </c>
      <c r="G44" s="56"/>
      <c r="H44" s="45">
        <v>455</v>
      </c>
      <c r="I44" s="46" t="s">
        <v>28</v>
      </c>
      <c r="J44" s="46" t="s">
        <v>28</v>
      </c>
      <c r="K44" s="46" t="s">
        <v>28</v>
      </c>
      <c r="L44" s="46" t="s">
        <v>28</v>
      </c>
      <c r="M44" s="55"/>
      <c r="N44" s="56"/>
    </row>
    <row r="45" spans="1:14" ht="15" customHeight="1">
      <c r="A45" s="37" t="s">
        <v>120</v>
      </c>
      <c r="B45" s="57" t="s">
        <v>121</v>
      </c>
      <c r="C45" s="56"/>
      <c r="D45" s="46">
        <v>3042</v>
      </c>
      <c r="E45" s="46" t="str">
        <f t="shared" si="0"/>
        <v>0000019275 - 3042 - CANOLES ALTAMIRANDA EDINSON</v>
      </c>
      <c r="F45" s="57" t="s">
        <v>122</v>
      </c>
      <c r="G45" s="56"/>
      <c r="H45" s="45">
        <v>455</v>
      </c>
      <c r="I45" s="46" t="s">
        <v>28</v>
      </c>
      <c r="J45" s="46" t="s">
        <v>28</v>
      </c>
      <c r="K45" s="46" t="s">
        <v>28</v>
      </c>
      <c r="L45" s="46" t="s">
        <v>28</v>
      </c>
      <c r="M45" s="55"/>
      <c r="N45" s="56"/>
    </row>
    <row r="46" spans="1:14" ht="15" customHeight="1">
      <c r="A46" s="37" t="s">
        <v>123</v>
      </c>
      <c r="B46" s="57" t="s">
        <v>124</v>
      </c>
      <c r="C46" s="56"/>
      <c r="D46" s="46">
        <v>3042</v>
      </c>
      <c r="E46" s="46" t="str">
        <f t="shared" ref="E46:E77" si="1">_xlfn.CONCAT(A46," - ",D46," - ",B46)</f>
        <v>0000054766 - 3042 - CASTILLO ARMEDO MARIA ALEJANDRA</v>
      </c>
      <c r="F46" s="57" t="s">
        <v>125</v>
      </c>
      <c r="G46" s="56"/>
      <c r="H46" s="45">
        <v>455</v>
      </c>
      <c r="I46" s="46" t="s">
        <v>28</v>
      </c>
      <c r="J46" s="46" t="s">
        <v>28</v>
      </c>
      <c r="K46" s="46" t="s">
        <v>28</v>
      </c>
      <c r="L46" s="46" t="s">
        <v>28</v>
      </c>
      <c r="M46" s="55"/>
      <c r="N46" s="56"/>
    </row>
    <row r="47" spans="1:14" ht="15" customHeight="1">
      <c r="A47" s="37" t="s">
        <v>126</v>
      </c>
      <c r="B47" s="57" t="s">
        <v>127</v>
      </c>
      <c r="C47" s="56"/>
      <c r="D47" s="46">
        <v>3042</v>
      </c>
      <c r="E47" s="46" t="str">
        <f t="shared" si="1"/>
        <v>0000054948 - 3042 - DAVILA CHAVES ALEJANDRO</v>
      </c>
      <c r="F47" s="57" t="s">
        <v>128</v>
      </c>
      <c r="G47" s="56"/>
      <c r="H47" s="45">
        <v>455</v>
      </c>
      <c r="I47" s="46" t="s">
        <v>28</v>
      </c>
      <c r="J47" s="46" t="s">
        <v>28</v>
      </c>
      <c r="K47" s="46" t="s">
        <v>28</v>
      </c>
      <c r="L47" s="46" t="s">
        <v>28</v>
      </c>
      <c r="M47" s="55"/>
      <c r="N47" s="56"/>
    </row>
    <row r="48" spans="1:14" ht="15" customHeight="1">
      <c r="A48" s="37" t="s">
        <v>129</v>
      </c>
      <c r="B48" s="57" t="s">
        <v>130</v>
      </c>
      <c r="C48" s="56"/>
      <c r="D48" s="46">
        <v>3042</v>
      </c>
      <c r="E48" s="46" t="str">
        <f t="shared" si="1"/>
        <v>0000055008 - 3042 - DEULUFEUTT MENDEZ JESUS DAVID</v>
      </c>
      <c r="F48" s="57" t="s">
        <v>131</v>
      </c>
      <c r="G48" s="56"/>
      <c r="H48" s="45">
        <v>455</v>
      </c>
      <c r="I48" s="46" t="s">
        <v>28</v>
      </c>
      <c r="J48" s="46" t="s">
        <v>28</v>
      </c>
      <c r="K48" s="46" t="s">
        <v>28</v>
      </c>
      <c r="L48" s="46" t="s">
        <v>28</v>
      </c>
      <c r="M48" s="55"/>
      <c r="N48" s="56"/>
    </row>
    <row r="49" spans="1:14" ht="15" customHeight="1">
      <c r="A49" s="37" t="s">
        <v>132</v>
      </c>
      <c r="B49" s="57" t="s">
        <v>133</v>
      </c>
      <c r="C49" s="56"/>
      <c r="D49" s="46">
        <v>3042</v>
      </c>
      <c r="E49" s="46" t="str">
        <f t="shared" si="1"/>
        <v>0000039784 - 3042 - DIAZ MEJIA JESUS ALBERTO</v>
      </c>
      <c r="F49" s="57" t="s">
        <v>134</v>
      </c>
      <c r="G49" s="56"/>
      <c r="H49" s="45">
        <v>455</v>
      </c>
      <c r="I49" s="46" t="s">
        <v>28</v>
      </c>
      <c r="J49" s="46" t="s">
        <v>28</v>
      </c>
      <c r="K49" s="46" t="s">
        <v>28</v>
      </c>
      <c r="L49" s="46" t="s">
        <v>28</v>
      </c>
      <c r="M49" s="55"/>
      <c r="N49" s="56"/>
    </row>
    <row r="50" spans="1:14" ht="15" customHeight="1">
      <c r="A50" s="37" t="s">
        <v>135</v>
      </c>
      <c r="B50" s="57" t="s">
        <v>136</v>
      </c>
      <c r="C50" s="56"/>
      <c r="D50" s="46">
        <v>3042</v>
      </c>
      <c r="E50" s="46" t="str">
        <f t="shared" si="1"/>
        <v>0000054912 - 3042 - HERRERA RODRIGUEZ DOIMER ANDRES</v>
      </c>
      <c r="F50" s="57" t="s">
        <v>137</v>
      </c>
      <c r="G50" s="56"/>
      <c r="H50" s="45">
        <v>455</v>
      </c>
      <c r="I50" s="46" t="s">
        <v>28</v>
      </c>
      <c r="J50" s="46" t="s">
        <v>28</v>
      </c>
      <c r="K50" s="46" t="s">
        <v>28</v>
      </c>
      <c r="L50" s="46" t="s">
        <v>28</v>
      </c>
      <c r="M50" s="55"/>
      <c r="N50" s="56"/>
    </row>
    <row r="51" spans="1:14" ht="15" customHeight="1">
      <c r="A51" s="37" t="s">
        <v>138</v>
      </c>
      <c r="B51" s="57" t="s">
        <v>139</v>
      </c>
      <c r="C51" s="56"/>
      <c r="D51" s="46">
        <v>3042</v>
      </c>
      <c r="E51" s="46" t="str">
        <f t="shared" si="1"/>
        <v>0000054894 - 3042 - LEON JEREZ AARON EDUARDO</v>
      </c>
      <c r="F51" s="57" t="s">
        <v>140</v>
      </c>
      <c r="G51" s="56"/>
      <c r="H51" s="45">
        <v>455</v>
      </c>
      <c r="I51" s="46" t="s">
        <v>28</v>
      </c>
      <c r="J51" s="46" t="s">
        <v>28</v>
      </c>
      <c r="K51" s="46" t="s">
        <v>28</v>
      </c>
      <c r="L51" s="46" t="s">
        <v>28</v>
      </c>
      <c r="M51" s="55"/>
      <c r="N51" s="56"/>
    </row>
    <row r="52" spans="1:14" ht="15" customHeight="1">
      <c r="A52" s="37" t="s">
        <v>141</v>
      </c>
      <c r="B52" s="57" t="s">
        <v>142</v>
      </c>
      <c r="C52" s="56"/>
      <c r="D52" s="46">
        <v>3042</v>
      </c>
      <c r="E52" s="46" t="str">
        <f t="shared" si="1"/>
        <v>0000054597 - 3042 - MARIMON TORRES JOSE DANIEL</v>
      </c>
      <c r="F52" s="57" t="s">
        <v>143</v>
      </c>
      <c r="G52" s="56"/>
      <c r="H52" s="45">
        <v>455</v>
      </c>
      <c r="I52" s="46" t="s">
        <v>28</v>
      </c>
      <c r="J52" s="46" t="s">
        <v>28</v>
      </c>
      <c r="K52" s="46" t="s">
        <v>28</v>
      </c>
      <c r="L52" s="46" t="s">
        <v>28</v>
      </c>
      <c r="M52" s="55"/>
      <c r="N52" s="56"/>
    </row>
    <row r="53" spans="1:14" ht="15" customHeight="1">
      <c r="A53" s="37" t="s">
        <v>144</v>
      </c>
      <c r="B53" s="57" t="s">
        <v>145</v>
      </c>
      <c r="C53" s="56"/>
      <c r="D53" s="46">
        <v>3042</v>
      </c>
      <c r="E53" s="46" t="str">
        <f t="shared" si="1"/>
        <v>0000051892 - 3042 - MARRUGO BARRIOS CRISTIAN</v>
      </c>
      <c r="F53" s="57" t="s">
        <v>146</v>
      </c>
      <c r="G53" s="56"/>
      <c r="H53" s="45">
        <v>455</v>
      </c>
      <c r="I53" s="46" t="s">
        <v>28</v>
      </c>
      <c r="J53" s="46" t="s">
        <v>28</v>
      </c>
      <c r="K53" s="46" t="s">
        <v>28</v>
      </c>
      <c r="L53" s="46" t="s">
        <v>28</v>
      </c>
      <c r="M53" s="55"/>
      <c r="N53" s="56"/>
    </row>
    <row r="54" spans="1:14" ht="15" customHeight="1">
      <c r="A54" s="37" t="s">
        <v>147</v>
      </c>
      <c r="B54" s="57" t="s">
        <v>148</v>
      </c>
      <c r="C54" s="56"/>
      <c r="D54" s="46">
        <v>3042</v>
      </c>
      <c r="E54" s="46" t="str">
        <f t="shared" si="1"/>
        <v>0000053718 - 3042 - MARRUGO CASTILLA BRAYAN DE JESUS</v>
      </c>
      <c r="F54" s="57" t="s">
        <v>149</v>
      </c>
      <c r="G54" s="56"/>
      <c r="H54" s="45">
        <v>455</v>
      </c>
      <c r="I54" s="46" t="s">
        <v>28</v>
      </c>
      <c r="J54" s="46" t="s">
        <v>28</v>
      </c>
      <c r="K54" s="46" t="s">
        <v>28</v>
      </c>
      <c r="L54" s="46" t="s">
        <v>28</v>
      </c>
      <c r="M54" s="55"/>
      <c r="N54" s="56"/>
    </row>
    <row r="55" spans="1:14" ht="15" customHeight="1">
      <c r="A55" s="37" t="s">
        <v>150</v>
      </c>
      <c r="B55" s="57" t="s">
        <v>151</v>
      </c>
      <c r="C55" s="56"/>
      <c r="D55" s="46">
        <v>3042</v>
      </c>
      <c r="E55" s="46" t="str">
        <f t="shared" si="1"/>
        <v>0000055494 - 3042 - MELÉNDEZ RAMOS JOSE ANGEL</v>
      </c>
      <c r="F55" s="57" t="s">
        <v>152</v>
      </c>
      <c r="G55" s="56"/>
      <c r="H55" s="45">
        <v>455</v>
      </c>
      <c r="I55" s="46" t="s">
        <v>28</v>
      </c>
      <c r="J55" s="46" t="s">
        <v>28</v>
      </c>
      <c r="K55" s="46" t="s">
        <v>28</v>
      </c>
      <c r="L55" s="46" t="s">
        <v>28</v>
      </c>
      <c r="M55" s="55"/>
      <c r="N55" s="56"/>
    </row>
    <row r="56" spans="1:14" ht="15" customHeight="1">
      <c r="A56" s="37" t="s">
        <v>153</v>
      </c>
      <c r="B56" s="57" t="s">
        <v>154</v>
      </c>
      <c r="C56" s="56"/>
      <c r="D56" s="46">
        <v>3042</v>
      </c>
      <c r="E56" s="46" t="str">
        <f t="shared" si="1"/>
        <v>0000054927 - 3042 - MEZA ASCANIO RONNY JOSUE</v>
      </c>
      <c r="F56" s="57" t="s">
        <v>155</v>
      </c>
      <c r="G56" s="56"/>
      <c r="H56" s="45">
        <v>455</v>
      </c>
      <c r="I56" s="46" t="s">
        <v>28</v>
      </c>
      <c r="J56" s="46" t="s">
        <v>28</v>
      </c>
      <c r="K56" s="46" t="s">
        <v>28</v>
      </c>
      <c r="L56" s="46" t="s">
        <v>28</v>
      </c>
      <c r="M56" s="55"/>
      <c r="N56" s="56"/>
    </row>
    <row r="57" spans="1:14" ht="15" customHeight="1">
      <c r="A57" s="37" t="s">
        <v>156</v>
      </c>
      <c r="B57" s="57" t="s">
        <v>157</v>
      </c>
      <c r="C57" s="56"/>
      <c r="D57" s="46">
        <v>3042</v>
      </c>
      <c r="E57" s="46" t="str">
        <f t="shared" si="1"/>
        <v>0000051956 - 3042 - MORANTE CONTRERAS MILEIDY YULIETH</v>
      </c>
      <c r="F57" s="57" t="s">
        <v>158</v>
      </c>
      <c r="G57" s="56"/>
      <c r="H57" s="45">
        <v>455</v>
      </c>
      <c r="I57" s="46" t="s">
        <v>28</v>
      </c>
      <c r="J57" s="46" t="s">
        <v>28</v>
      </c>
      <c r="K57" s="46" t="s">
        <v>28</v>
      </c>
      <c r="L57" s="46" t="s">
        <v>28</v>
      </c>
      <c r="M57" s="55"/>
      <c r="N57" s="56"/>
    </row>
    <row r="58" spans="1:14" ht="15" customHeight="1">
      <c r="A58" s="37" t="s">
        <v>159</v>
      </c>
      <c r="B58" s="57" t="s">
        <v>160</v>
      </c>
      <c r="C58" s="56"/>
      <c r="D58" s="46">
        <v>3042</v>
      </c>
      <c r="E58" s="46" t="str">
        <f t="shared" si="1"/>
        <v>0000054156 - 3042 - MORELOS ALCALA JARLIN DAVID</v>
      </c>
      <c r="F58" s="57" t="s">
        <v>161</v>
      </c>
      <c r="G58" s="56"/>
      <c r="H58" s="45">
        <v>455</v>
      </c>
      <c r="I58" s="46" t="s">
        <v>28</v>
      </c>
      <c r="J58" s="46" t="s">
        <v>28</v>
      </c>
      <c r="K58" s="46" t="s">
        <v>28</v>
      </c>
      <c r="L58" s="46" t="s">
        <v>28</v>
      </c>
      <c r="M58" s="55"/>
      <c r="N58" s="56"/>
    </row>
    <row r="59" spans="1:14" ht="15" customHeight="1">
      <c r="A59" s="37" t="s">
        <v>162</v>
      </c>
      <c r="B59" s="57" t="s">
        <v>163</v>
      </c>
      <c r="C59" s="56"/>
      <c r="D59" s="46">
        <v>3042</v>
      </c>
      <c r="E59" s="46" t="str">
        <f t="shared" si="1"/>
        <v>0000052038 - 3042 - NIÑO ACUÑA CRISTIAN JOSE</v>
      </c>
      <c r="F59" s="57" t="s">
        <v>164</v>
      </c>
      <c r="G59" s="56"/>
      <c r="H59" s="45">
        <v>455</v>
      </c>
      <c r="I59" s="46" t="s">
        <v>28</v>
      </c>
      <c r="J59" s="46" t="s">
        <v>28</v>
      </c>
      <c r="K59" s="46" t="s">
        <v>28</v>
      </c>
      <c r="L59" s="46" t="s">
        <v>28</v>
      </c>
      <c r="M59" s="55"/>
      <c r="N59" s="56"/>
    </row>
    <row r="60" spans="1:14" ht="15" customHeight="1">
      <c r="A60" s="37" t="s">
        <v>165</v>
      </c>
      <c r="B60" s="57" t="s">
        <v>166</v>
      </c>
      <c r="C60" s="56"/>
      <c r="D60" s="46">
        <v>3042</v>
      </c>
      <c r="E60" s="46" t="str">
        <f t="shared" si="1"/>
        <v>0000054848 - 3042 - NOVAS PADILLA SANTIAGO</v>
      </c>
      <c r="F60" s="57" t="s">
        <v>167</v>
      </c>
      <c r="G60" s="56"/>
      <c r="H60" s="45">
        <v>455</v>
      </c>
      <c r="I60" s="46" t="s">
        <v>28</v>
      </c>
      <c r="J60" s="46" t="s">
        <v>28</v>
      </c>
      <c r="K60" s="46" t="s">
        <v>28</v>
      </c>
      <c r="L60" s="46" t="s">
        <v>28</v>
      </c>
      <c r="M60" s="55"/>
      <c r="N60" s="56"/>
    </row>
    <row r="61" spans="1:14" ht="15" customHeight="1">
      <c r="A61" s="37" t="s">
        <v>168</v>
      </c>
      <c r="B61" s="57" t="s">
        <v>169</v>
      </c>
      <c r="C61" s="56"/>
      <c r="D61" s="46">
        <v>3042</v>
      </c>
      <c r="E61" s="46" t="str">
        <f t="shared" si="1"/>
        <v>0000053860 - 3042 - NOVOA ACOSTA FELIX MARIO</v>
      </c>
      <c r="F61" s="57" t="s">
        <v>170</v>
      </c>
      <c r="G61" s="56"/>
      <c r="H61" s="45">
        <v>455</v>
      </c>
      <c r="I61" s="46" t="s">
        <v>28</v>
      </c>
      <c r="J61" s="46" t="s">
        <v>28</v>
      </c>
      <c r="K61" s="46" t="s">
        <v>28</v>
      </c>
      <c r="L61" s="46" t="s">
        <v>28</v>
      </c>
      <c r="M61" s="55"/>
      <c r="N61" s="56"/>
    </row>
    <row r="62" spans="1:14" ht="15" customHeight="1">
      <c r="A62" s="37" t="s">
        <v>171</v>
      </c>
      <c r="B62" s="57" t="s">
        <v>172</v>
      </c>
      <c r="C62" s="56"/>
      <c r="D62" s="46">
        <v>3042</v>
      </c>
      <c r="E62" s="46" t="str">
        <f t="shared" si="1"/>
        <v>0000052010 - 3042 - OVIEDO VITOLA ANDRES ALFONSO</v>
      </c>
      <c r="F62" s="57" t="s">
        <v>173</v>
      </c>
      <c r="G62" s="56"/>
      <c r="H62" s="45">
        <v>455</v>
      </c>
      <c r="I62" s="46" t="s">
        <v>28</v>
      </c>
      <c r="J62" s="46" t="s">
        <v>28</v>
      </c>
      <c r="K62" s="46" t="s">
        <v>28</v>
      </c>
      <c r="L62" s="46" t="s">
        <v>28</v>
      </c>
      <c r="M62" s="55"/>
      <c r="N62" s="56"/>
    </row>
    <row r="63" spans="1:14" ht="15" customHeight="1">
      <c r="A63" s="37" t="s">
        <v>174</v>
      </c>
      <c r="B63" s="57" t="s">
        <v>175</v>
      </c>
      <c r="C63" s="56"/>
      <c r="D63" s="46">
        <v>3042</v>
      </c>
      <c r="E63" s="46" t="str">
        <f t="shared" si="1"/>
        <v>0000052060 - 3042 - PALENCIA OCAMPO EZEQUIEL DAVID</v>
      </c>
      <c r="F63" s="57" t="s">
        <v>176</v>
      </c>
      <c r="G63" s="56"/>
      <c r="H63" s="45">
        <v>455</v>
      </c>
      <c r="I63" s="46" t="s">
        <v>28</v>
      </c>
      <c r="J63" s="46" t="s">
        <v>28</v>
      </c>
      <c r="K63" s="46" t="s">
        <v>28</v>
      </c>
      <c r="L63" s="46" t="s">
        <v>28</v>
      </c>
      <c r="M63" s="55"/>
      <c r="N63" s="56"/>
    </row>
    <row r="64" spans="1:14" ht="15" customHeight="1">
      <c r="A64" s="37" t="s">
        <v>177</v>
      </c>
      <c r="B64" s="57" t="s">
        <v>178</v>
      </c>
      <c r="C64" s="56"/>
      <c r="D64" s="46">
        <v>3042</v>
      </c>
      <c r="E64" s="46" t="str">
        <f t="shared" si="1"/>
        <v>0000054998 - 3042 - RAMOS NAJERA ANDRES FELIPE</v>
      </c>
      <c r="F64" s="57" t="s">
        <v>179</v>
      </c>
      <c r="G64" s="56"/>
      <c r="H64" s="45">
        <v>455</v>
      </c>
      <c r="I64" s="46" t="s">
        <v>28</v>
      </c>
      <c r="J64" s="46" t="s">
        <v>28</v>
      </c>
      <c r="K64" s="46" t="s">
        <v>28</v>
      </c>
      <c r="L64" s="46" t="s">
        <v>28</v>
      </c>
      <c r="M64" s="55"/>
      <c r="N64" s="56"/>
    </row>
    <row r="65" spans="1:14" ht="15" customHeight="1">
      <c r="A65" s="37" t="s">
        <v>180</v>
      </c>
      <c r="B65" s="57" t="s">
        <v>181</v>
      </c>
      <c r="C65" s="56"/>
      <c r="D65" s="46">
        <v>3042</v>
      </c>
      <c r="E65" s="46" t="str">
        <f t="shared" si="1"/>
        <v>0000054943 - 3042 - RÍOS ALMEIDA JOHAN ZAIR</v>
      </c>
      <c r="F65" s="57" t="s">
        <v>182</v>
      </c>
      <c r="G65" s="56"/>
      <c r="H65" s="45">
        <v>455</v>
      </c>
      <c r="I65" s="46" t="s">
        <v>28</v>
      </c>
      <c r="J65" s="46" t="s">
        <v>28</v>
      </c>
      <c r="K65" s="46" t="s">
        <v>28</v>
      </c>
      <c r="L65" s="46" t="s">
        <v>28</v>
      </c>
      <c r="M65" s="55"/>
      <c r="N65" s="56"/>
    </row>
    <row r="66" spans="1:14" ht="15" customHeight="1">
      <c r="A66" s="37" t="s">
        <v>183</v>
      </c>
      <c r="B66" s="57" t="s">
        <v>184</v>
      </c>
      <c r="C66" s="56"/>
      <c r="D66" s="46">
        <v>3042</v>
      </c>
      <c r="E66" s="46" t="str">
        <f t="shared" si="1"/>
        <v>0000054630 - 3042 - RUIZ MARTINEZ MANUEL ENRIQUE</v>
      </c>
      <c r="F66" s="57" t="s">
        <v>185</v>
      </c>
      <c r="G66" s="56"/>
      <c r="H66" s="45">
        <v>455</v>
      </c>
      <c r="I66" s="46" t="s">
        <v>28</v>
      </c>
      <c r="J66" s="46" t="s">
        <v>28</v>
      </c>
      <c r="K66" s="46" t="s">
        <v>28</v>
      </c>
      <c r="L66" s="46" t="s">
        <v>28</v>
      </c>
      <c r="M66" s="55"/>
      <c r="N66" s="56"/>
    </row>
    <row r="67" spans="1:14" ht="15" customHeight="1">
      <c r="A67" s="37" t="s">
        <v>186</v>
      </c>
      <c r="B67" s="57" t="s">
        <v>187</v>
      </c>
      <c r="C67" s="56"/>
      <c r="D67" s="46">
        <v>3042</v>
      </c>
      <c r="E67" s="46" t="str">
        <f t="shared" si="1"/>
        <v>0000051031 - 3042 - SANTIAGO LOPEZ ROBINSON ANDRES</v>
      </c>
      <c r="F67" s="57" t="s">
        <v>188</v>
      </c>
      <c r="G67" s="56"/>
      <c r="H67" s="45">
        <v>455</v>
      </c>
      <c r="I67" s="46" t="s">
        <v>28</v>
      </c>
      <c r="J67" s="46" t="s">
        <v>28</v>
      </c>
      <c r="K67" s="46" t="s">
        <v>28</v>
      </c>
      <c r="L67" s="46" t="s">
        <v>28</v>
      </c>
      <c r="M67" s="55"/>
      <c r="N67" s="56"/>
    </row>
    <row r="68" spans="1:14" ht="15" customHeight="1">
      <c r="A68" s="37" t="s">
        <v>189</v>
      </c>
      <c r="B68" s="57" t="s">
        <v>190</v>
      </c>
      <c r="C68" s="56"/>
      <c r="D68" s="46">
        <v>3042</v>
      </c>
      <c r="E68" s="46" t="str">
        <f t="shared" si="1"/>
        <v>0000053712 - 3042 - SOLANO RODRIGUEZ EDUARDO ANDRES</v>
      </c>
      <c r="F68" s="57" t="s">
        <v>191</v>
      </c>
      <c r="G68" s="56"/>
      <c r="H68" s="45">
        <v>455</v>
      </c>
      <c r="I68" s="46" t="s">
        <v>28</v>
      </c>
      <c r="J68" s="46" t="s">
        <v>28</v>
      </c>
      <c r="K68" s="46" t="s">
        <v>28</v>
      </c>
      <c r="L68" s="46" t="s">
        <v>28</v>
      </c>
      <c r="M68" s="55"/>
      <c r="N68" s="56"/>
    </row>
    <row r="69" spans="1:14" ht="15" customHeight="1">
      <c r="A69" s="37" t="s">
        <v>192</v>
      </c>
      <c r="B69" s="57" t="s">
        <v>193</v>
      </c>
      <c r="C69" s="56"/>
      <c r="D69" s="46">
        <v>3042</v>
      </c>
      <c r="E69" s="46" t="str">
        <f t="shared" si="1"/>
        <v>0000052822 - 3042 - TORRES GONZALEZ ANYELL DAVID</v>
      </c>
      <c r="F69" s="57" t="s">
        <v>194</v>
      </c>
      <c r="G69" s="56"/>
      <c r="H69" s="45">
        <v>455</v>
      </c>
      <c r="I69" s="46" t="s">
        <v>28</v>
      </c>
      <c r="J69" s="46" t="s">
        <v>28</v>
      </c>
      <c r="K69" s="46" t="s">
        <v>28</v>
      </c>
      <c r="L69" s="46" t="s">
        <v>28</v>
      </c>
      <c r="M69" s="55"/>
      <c r="N69" s="56"/>
    </row>
    <row r="70" spans="1:14" ht="15" customHeight="1">
      <c r="A70" s="37" t="s">
        <v>195</v>
      </c>
      <c r="B70" s="57" t="s">
        <v>196</v>
      </c>
      <c r="C70" s="56"/>
      <c r="D70" s="46">
        <v>3042</v>
      </c>
      <c r="E70" s="46" t="str">
        <f t="shared" si="1"/>
        <v>0000053081 - 3042 - TORRES PEREIRA KENNER DAVID</v>
      </c>
      <c r="F70" s="57" t="s">
        <v>197</v>
      </c>
      <c r="G70" s="56"/>
      <c r="H70" s="45">
        <v>455</v>
      </c>
      <c r="I70" s="46" t="s">
        <v>28</v>
      </c>
      <c r="J70" s="46" t="s">
        <v>28</v>
      </c>
      <c r="K70" s="46" t="s">
        <v>28</v>
      </c>
      <c r="L70" s="46" t="s">
        <v>28</v>
      </c>
      <c r="M70" s="55"/>
      <c r="N70" s="56"/>
    </row>
    <row r="71" spans="1:14">
      <c r="A71" s="35"/>
      <c r="B71" s="60"/>
      <c r="C71" s="61"/>
      <c r="D71" s="34"/>
      <c r="E71" s="34"/>
      <c r="F71" s="60"/>
      <c r="G71" s="61"/>
      <c r="H71" s="36"/>
      <c r="I71" s="36"/>
      <c r="J71" s="36"/>
      <c r="K71" s="36"/>
      <c r="L71" s="36"/>
      <c r="M71" s="60"/>
      <c r="N71" s="61"/>
    </row>
    <row r="72" spans="1:14">
      <c r="A72" s="33"/>
      <c r="B72" s="53"/>
      <c r="C72" s="54"/>
      <c r="D72" s="4"/>
      <c r="E72" s="4"/>
      <c r="F72" s="53"/>
      <c r="G72" s="54"/>
      <c r="H72" s="2"/>
      <c r="I72" s="2"/>
      <c r="J72" s="2"/>
      <c r="K72" s="2"/>
      <c r="L72" s="2"/>
      <c r="M72" s="53"/>
      <c r="N72" s="54"/>
    </row>
    <row r="73" spans="1:14">
      <c r="A73" s="33"/>
      <c r="B73" s="53"/>
      <c r="C73" s="54"/>
      <c r="D73" s="4"/>
      <c r="E73" s="4"/>
      <c r="F73" s="53"/>
      <c r="G73" s="54"/>
      <c r="H73" s="2"/>
      <c r="I73" s="2"/>
      <c r="J73" s="2"/>
      <c r="K73" s="2"/>
      <c r="L73" s="2"/>
      <c r="M73" s="53"/>
      <c r="N73" s="54"/>
    </row>
    <row r="74" spans="1:14">
      <c r="A74" s="33"/>
      <c r="B74" s="53"/>
      <c r="C74" s="54"/>
      <c r="D74" s="4"/>
      <c r="E74" s="4"/>
      <c r="F74" s="53"/>
      <c r="G74" s="54"/>
      <c r="H74" s="2"/>
      <c r="I74" s="2"/>
      <c r="J74" s="2"/>
      <c r="K74" s="2"/>
      <c r="L74" s="2"/>
      <c r="M74" s="53"/>
      <c r="N74" s="54"/>
    </row>
    <row r="75" spans="1:14">
      <c r="A75" s="33"/>
      <c r="B75" s="53"/>
      <c r="C75" s="54"/>
      <c r="D75" s="4"/>
      <c r="E75" s="4"/>
      <c r="F75" s="53"/>
      <c r="G75" s="54"/>
      <c r="H75" s="2"/>
      <c r="I75" s="2"/>
      <c r="J75" s="2"/>
      <c r="K75" s="2"/>
      <c r="L75" s="2"/>
      <c r="M75" s="53"/>
      <c r="N75" s="54"/>
    </row>
    <row r="76" spans="1:14">
      <c r="A76" s="33"/>
      <c r="B76" s="53"/>
      <c r="C76" s="54"/>
      <c r="D76" s="4"/>
      <c r="E76" s="4"/>
      <c r="F76" s="53"/>
      <c r="G76" s="54"/>
      <c r="H76" s="2"/>
      <c r="I76" s="2"/>
      <c r="J76" s="2"/>
      <c r="K76" s="2"/>
      <c r="L76" s="2"/>
      <c r="M76" s="53"/>
      <c r="N76" s="54"/>
    </row>
    <row r="77" spans="1:14">
      <c r="A77" s="33"/>
      <c r="B77" s="53"/>
      <c r="C77" s="54"/>
      <c r="D77" s="4"/>
      <c r="E77" s="4"/>
      <c r="F77" s="53"/>
      <c r="G77" s="54"/>
      <c r="H77" s="2"/>
      <c r="I77" s="2"/>
      <c r="J77" s="2"/>
      <c r="K77" s="2"/>
      <c r="L77" s="2"/>
      <c r="M77" s="53"/>
      <c r="N77" s="54"/>
    </row>
    <row r="78" spans="1:14">
      <c r="A78" s="33"/>
      <c r="B78" s="53"/>
      <c r="C78" s="54"/>
      <c r="D78" s="4"/>
      <c r="E78" s="4"/>
      <c r="F78" s="53"/>
      <c r="G78" s="54"/>
      <c r="H78" s="2"/>
      <c r="I78" s="2"/>
      <c r="J78" s="2"/>
      <c r="K78" s="2"/>
      <c r="L78" s="2"/>
      <c r="M78" s="53"/>
      <c r="N78" s="54"/>
    </row>
    <row r="79" spans="1:14">
      <c r="A79" s="33"/>
      <c r="B79" s="53"/>
      <c r="C79" s="54"/>
      <c r="D79" s="4"/>
      <c r="E79" s="4"/>
      <c r="F79" s="53"/>
      <c r="G79" s="54"/>
      <c r="H79" s="2"/>
      <c r="I79" s="2"/>
      <c r="J79" s="2"/>
      <c r="K79" s="2"/>
      <c r="L79" s="2"/>
      <c r="M79" s="53"/>
      <c r="N79" s="54"/>
    </row>
    <row r="80" spans="1:14">
      <c r="A80" s="33"/>
      <c r="B80" s="53"/>
      <c r="C80" s="54"/>
      <c r="D80" s="4"/>
      <c r="E80" s="4"/>
      <c r="F80" s="53"/>
      <c r="G80" s="54"/>
      <c r="H80" s="2"/>
      <c r="I80" s="2"/>
      <c r="J80" s="2"/>
      <c r="K80" s="2"/>
      <c r="L80" s="2"/>
      <c r="M80" s="53"/>
      <c r="N80" s="54"/>
    </row>
    <row r="81" spans="1:14">
      <c r="A81" s="33"/>
      <c r="B81" s="53"/>
      <c r="C81" s="54"/>
      <c r="D81" s="4"/>
      <c r="E81" s="4"/>
      <c r="F81" s="53"/>
      <c r="G81" s="54"/>
      <c r="H81" s="2"/>
      <c r="I81" s="2"/>
      <c r="J81" s="2"/>
      <c r="K81" s="2"/>
      <c r="L81" s="2"/>
      <c r="M81" s="53"/>
      <c r="N81" s="54"/>
    </row>
    <row r="82" spans="1:14">
      <c r="A82" s="33"/>
      <c r="B82" s="53"/>
      <c r="C82" s="54"/>
      <c r="D82" s="4"/>
      <c r="E82" s="4"/>
      <c r="F82" s="53"/>
      <c r="G82" s="54"/>
      <c r="H82" s="2"/>
      <c r="I82" s="2"/>
      <c r="J82" s="2"/>
      <c r="K82" s="2"/>
      <c r="L82" s="2"/>
      <c r="M82" s="53"/>
      <c r="N82" s="54"/>
    </row>
    <row r="83" spans="1:14">
      <c r="A83" s="33"/>
      <c r="B83" s="53"/>
      <c r="C83" s="54"/>
      <c r="D83" s="4"/>
      <c r="E83" s="4"/>
      <c r="F83" s="53"/>
      <c r="G83" s="54"/>
      <c r="H83" s="2"/>
      <c r="I83" s="2"/>
      <c r="J83" s="2"/>
      <c r="K83" s="2"/>
      <c r="L83" s="2"/>
      <c r="M83" s="53"/>
      <c r="N83" s="54"/>
    </row>
    <row r="84" spans="1:14">
      <c r="A84" s="33"/>
      <c r="B84" s="53"/>
      <c r="C84" s="54"/>
      <c r="D84" s="4"/>
      <c r="E84" s="4"/>
      <c r="F84" s="53"/>
      <c r="G84" s="54"/>
      <c r="H84" s="2"/>
      <c r="I84" s="2"/>
      <c r="J84" s="2"/>
      <c r="K84" s="2"/>
      <c r="L84" s="2"/>
      <c r="M84" s="53"/>
      <c r="N84" s="54"/>
    </row>
    <row r="85" spans="1:14">
      <c r="A85" s="33"/>
      <c r="B85" s="53"/>
      <c r="C85" s="54"/>
      <c r="D85" s="4"/>
      <c r="E85" s="4"/>
      <c r="F85" s="53"/>
      <c r="G85" s="54"/>
      <c r="H85" s="2"/>
      <c r="I85" s="2"/>
      <c r="J85" s="2"/>
      <c r="K85" s="2"/>
      <c r="L85" s="2"/>
      <c r="M85" s="53"/>
      <c r="N85" s="54"/>
    </row>
    <row r="86" spans="1:14">
      <c r="A86" s="33"/>
      <c r="B86" s="53"/>
      <c r="C86" s="54"/>
      <c r="D86" s="4"/>
      <c r="E86" s="4"/>
      <c r="F86" s="53"/>
      <c r="G86" s="54"/>
      <c r="H86" s="2"/>
      <c r="I86" s="2"/>
      <c r="J86" s="2"/>
      <c r="K86" s="2"/>
      <c r="L86" s="2"/>
      <c r="M86" s="53"/>
      <c r="N86" s="54"/>
    </row>
    <row r="87" spans="1:14">
      <c r="A87" s="33"/>
      <c r="B87" s="53"/>
      <c r="C87" s="54"/>
      <c r="D87" s="4"/>
      <c r="E87" s="4"/>
      <c r="F87" s="53"/>
      <c r="G87" s="54"/>
      <c r="H87" s="2"/>
      <c r="I87" s="2"/>
      <c r="J87" s="2"/>
      <c r="K87" s="2"/>
      <c r="L87" s="2"/>
      <c r="M87" s="53"/>
      <c r="N87" s="54"/>
    </row>
    <row r="88" spans="1:14">
      <c r="A88" s="33"/>
      <c r="B88" s="53"/>
      <c r="C88" s="54"/>
      <c r="D88" s="4"/>
      <c r="E88" s="4"/>
      <c r="F88" s="53"/>
      <c r="G88" s="54"/>
      <c r="H88" s="2"/>
      <c r="I88" s="2"/>
      <c r="J88" s="2"/>
      <c r="K88" s="2"/>
      <c r="L88" s="2"/>
      <c r="M88" s="53"/>
      <c r="N88" s="54"/>
    </row>
    <row r="89" spans="1:14">
      <c r="A89" s="33"/>
      <c r="B89" s="53"/>
      <c r="C89" s="54"/>
      <c r="D89" s="4"/>
      <c r="E89" s="4"/>
      <c r="F89" s="53"/>
      <c r="G89" s="54"/>
      <c r="H89" s="2"/>
      <c r="I89" s="2"/>
      <c r="J89" s="2"/>
      <c r="K89" s="2"/>
      <c r="L89" s="2"/>
      <c r="M89" s="53"/>
      <c r="N89" s="54"/>
    </row>
    <row r="90" spans="1:14">
      <c r="A90" s="33"/>
      <c r="B90" s="53"/>
      <c r="C90" s="54"/>
      <c r="D90" s="4"/>
      <c r="E90" s="4"/>
      <c r="F90" s="53"/>
      <c r="G90" s="54"/>
      <c r="H90" s="2"/>
      <c r="I90" s="2"/>
      <c r="J90" s="2"/>
      <c r="K90" s="2"/>
      <c r="L90" s="2"/>
      <c r="M90" s="53"/>
      <c r="N90" s="54"/>
    </row>
    <row r="91" spans="1:14">
      <c r="A91" s="33"/>
      <c r="B91" s="53"/>
      <c r="C91" s="54"/>
      <c r="D91" s="4"/>
      <c r="E91" s="4"/>
      <c r="F91" s="53"/>
      <c r="G91" s="54"/>
      <c r="H91" s="2"/>
      <c r="I91" s="2"/>
      <c r="J91" s="2"/>
      <c r="K91" s="2"/>
      <c r="L91" s="2"/>
      <c r="M91" s="53"/>
      <c r="N91" s="54"/>
    </row>
    <row r="92" spans="1:14">
      <c r="A92" s="33"/>
      <c r="B92" s="53"/>
      <c r="C92" s="54"/>
      <c r="D92" s="4"/>
      <c r="E92" s="4"/>
      <c r="F92" s="53"/>
      <c r="G92" s="54"/>
      <c r="H92" s="2"/>
      <c r="I92" s="2"/>
      <c r="J92" s="2"/>
      <c r="K92" s="2"/>
      <c r="L92" s="2"/>
      <c r="M92" s="53"/>
      <c r="N92" s="54"/>
    </row>
    <row r="93" spans="1:14">
      <c r="A93" s="33"/>
      <c r="B93" s="53"/>
      <c r="C93" s="54"/>
      <c r="D93" s="4"/>
      <c r="E93" s="4"/>
      <c r="F93" s="53"/>
      <c r="G93" s="54"/>
      <c r="H93" s="2"/>
      <c r="I93" s="2"/>
      <c r="J93" s="2"/>
      <c r="K93" s="2"/>
      <c r="L93" s="2"/>
      <c r="M93" s="53"/>
      <c r="N93" s="54"/>
    </row>
    <row r="94" spans="1:14">
      <c r="A94" s="33"/>
      <c r="B94" s="53"/>
      <c r="C94" s="54"/>
      <c r="D94" s="4"/>
      <c r="E94" s="4"/>
      <c r="F94" s="53"/>
      <c r="G94" s="54"/>
      <c r="H94" s="2"/>
      <c r="I94" s="2"/>
      <c r="J94" s="2"/>
      <c r="K94" s="2"/>
      <c r="L94" s="2"/>
      <c r="M94" s="53"/>
      <c r="N94" s="54"/>
    </row>
    <row r="95" spans="1:14">
      <c r="A95" s="33"/>
      <c r="B95" s="53"/>
      <c r="C95" s="54"/>
      <c r="D95" s="4"/>
      <c r="E95" s="4"/>
      <c r="F95" s="53"/>
      <c r="G95" s="54"/>
      <c r="H95" s="2"/>
      <c r="I95" s="2"/>
      <c r="J95" s="2"/>
      <c r="K95" s="2"/>
      <c r="L95" s="2"/>
      <c r="M95" s="53"/>
      <c r="N95" s="54"/>
    </row>
    <row r="96" spans="1:14">
      <c r="A96" s="33"/>
      <c r="B96" s="53"/>
      <c r="C96" s="54"/>
      <c r="D96" s="4"/>
      <c r="E96" s="4"/>
      <c r="F96" s="53"/>
      <c r="G96" s="54"/>
      <c r="H96" s="2"/>
      <c r="I96" s="2"/>
      <c r="J96" s="2"/>
      <c r="K96" s="2"/>
      <c r="L96" s="2"/>
      <c r="M96" s="53"/>
      <c r="N96" s="54"/>
    </row>
    <row r="97" spans="1:14">
      <c r="A97" s="33"/>
      <c r="B97" s="53"/>
      <c r="C97" s="54"/>
      <c r="D97" s="4"/>
      <c r="E97" s="4"/>
      <c r="F97" s="53"/>
      <c r="G97" s="54"/>
      <c r="H97" s="2"/>
      <c r="I97" s="2"/>
      <c r="J97" s="2"/>
      <c r="K97" s="2"/>
      <c r="L97" s="2"/>
      <c r="M97" s="53"/>
      <c r="N97" s="54"/>
    </row>
    <row r="98" spans="1:14">
      <c r="A98" s="33"/>
      <c r="B98" s="53"/>
      <c r="C98" s="54"/>
      <c r="D98" s="4"/>
      <c r="E98" s="4"/>
      <c r="F98" s="53"/>
      <c r="G98" s="54"/>
      <c r="H98" s="2"/>
      <c r="I98" s="2"/>
      <c r="J98" s="2"/>
      <c r="K98" s="2"/>
      <c r="L98" s="2"/>
      <c r="M98" s="53"/>
      <c r="N98" s="54"/>
    </row>
    <row r="99" spans="1:14">
      <c r="A99" s="33"/>
      <c r="B99" s="53"/>
      <c r="C99" s="54"/>
      <c r="D99" s="4"/>
      <c r="E99" s="4"/>
      <c r="F99" s="53"/>
      <c r="G99" s="54"/>
      <c r="H99" s="2"/>
      <c r="I99" s="2"/>
      <c r="J99" s="2"/>
      <c r="K99" s="2"/>
      <c r="L99" s="2"/>
      <c r="M99" s="53"/>
      <c r="N99" s="54"/>
    </row>
    <row r="100" spans="1:14">
      <c r="A100" s="33"/>
      <c r="B100" s="53"/>
      <c r="C100" s="54"/>
      <c r="D100" s="4"/>
      <c r="E100" s="4"/>
      <c r="F100" s="53"/>
      <c r="G100" s="54"/>
      <c r="H100" s="2"/>
      <c r="I100" s="2"/>
      <c r="J100" s="2"/>
      <c r="K100" s="2"/>
      <c r="L100" s="2"/>
      <c r="M100" s="53"/>
      <c r="N100" s="54"/>
    </row>
  </sheetData>
  <mergeCells count="281">
    <mergeCell ref="C3:N3"/>
    <mergeCell ref="M61:N61"/>
    <mergeCell ref="F58:G58"/>
    <mergeCell ref="B65:C65"/>
    <mergeCell ref="F27:G27"/>
    <mergeCell ref="F67:G67"/>
    <mergeCell ref="F52:G52"/>
    <mergeCell ref="B74:C74"/>
    <mergeCell ref="F37:G37"/>
    <mergeCell ref="B68:C68"/>
    <mergeCell ref="M57:N57"/>
    <mergeCell ref="C5:N5"/>
    <mergeCell ref="M72:N72"/>
    <mergeCell ref="F60:G60"/>
    <mergeCell ref="M14:N14"/>
    <mergeCell ref="M32:N32"/>
    <mergeCell ref="B36:C36"/>
    <mergeCell ref="B50:C50"/>
    <mergeCell ref="C4:N4"/>
    <mergeCell ref="F44:G44"/>
    <mergeCell ref="F97:G97"/>
    <mergeCell ref="M22:N22"/>
    <mergeCell ref="F35:G35"/>
    <mergeCell ref="F41:G41"/>
    <mergeCell ref="B73:C73"/>
    <mergeCell ref="B87:C87"/>
    <mergeCell ref="M30:N30"/>
    <mergeCell ref="F38:G38"/>
    <mergeCell ref="M77:N77"/>
    <mergeCell ref="F90:G90"/>
    <mergeCell ref="M46:N46"/>
    <mergeCell ref="M86:N86"/>
    <mergeCell ref="M28:N28"/>
    <mergeCell ref="M80:N80"/>
    <mergeCell ref="M42:N42"/>
    <mergeCell ref="F82:G82"/>
    <mergeCell ref="F100:G100"/>
    <mergeCell ref="M81:N81"/>
    <mergeCell ref="M95:N95"/>
    <mergeCell ref="B19:C19"/>
    <mergeCell ref="B34:C34"/>
    <mergeCell ref="M89:N89"/>
    <mergeCell ref="B28:C28"/>
    <mergeCell ref="M37:N37"/>
    <mergeCell ref="B99:C99"/>
    <mergeCell ref="F22:G22"/>
    <mergeCell ref="F93:G93"/>
    <mergeCell ref="B83:C83"/>
    <mergeCell ref="M26:N26"/>
    <mergeCell ref="M97:N97"/>
    <mergeCell ref="B92:C92"/>
    <mergeCell ref="F77:G77"/>
    <mergeCell ref="B30:C30"/>
    <mergeCell ref="F92:G92"/>
    <mergeCell ref="M29:N29"/>
    <mergeCell ref="M23:N23"/>
    <mergeCell ref="B20:C20"/>
    <mergeCell ref="B76:C76"/>
    <mergeCell ref="M38:N38"/>
    <mergeCell ref="B45:C45"/>
    <mergeCell ref="B98:C98"/>
    <mergeCell ref="B42:C42"/>
    <mergeCell ref="A8:F8"/>
    <mergeCell ref="B60:C60"/>
    <mergeCell ref="F36:G36"/>
    <mergeCell ref="B17:C17"/>
    <mergeCell ref="F50:G50"/>
    <mergeCell ref="B88:C88"/>
    <mergeCell ref="M75:N75"/>
    <mergeCell ref="M31:N31"/>
    <mergeCell ref="B82:C82"/>
    <mergeCell ref="M40:N40"/>
    <mergeCell ref="B57:C57"/>
    <mergeCell ref="F91:G91"/>
    <mergeCell ref="B44:C44"/>
    <mergeCell ref="A10:F10"/>
    <mergeCell ref="M15:N15"/>
    <mergeCell ref="A12:M12"/>
    <mergeCell ref="B85:C85"/>
    <mergeCell ref="F49:G49"/>
    <mergeCell ref="B94:C94"/>
    <mergeCell ref="F14:G14"/>
    <mergeCell ref="M71:N71"/>
    <mergeCell ref="G9:N9"/>
    <mergeCell ref="A1:B1"/>
    <mergeCell ref="B96:C96"/>
    <mergeCell ref="F89:G89"/>
    <mergeCell ref="B71:C71"/>
    <mergeCell ref="M39:N39"/>
    <mergeCell ref="M48:N48"/>
    <mergeCell ref="B56:C56"/>
    <mergeCell ref="B43:C43"/>
    <mergeCell ref="B58:C58"/>
    <mergeCell ref="F21:G21"/>
    <mergeCell ref="B52:C52"/>
    <mergeCell ref="C2:N2"/>
    <mergeCell ref="F53:G53"/>
    <mergeCell ref="M69:N69"/>
    <mergeCell ref="G7:N7"/>
    <mergeCell ref="M78:N78"/>
    <mergeCell ref="C6:N6"/>
    <mergeCell ref="B75:C75"/>
    <mergeCell ref="M58:N58"/>
    <mergeCell ref="F69:G69"/>
    <mergeCell ref="B62:C62"/>
    <mergeCell ref="B47:C47"/>
    <mergeCell ref="F78:G78"/>
    <mergeCell ref="C1:N1"/>
    <mergeCell ref="B97:C97"/>
    <mergeCell ref="F73:G73"/>
    <mergeCell ref="F87:G87"/>
    <mergeCell ref="B54:C54"/>
    <mergeCell ref="M96:N96"/>
    <mergeCell ref="M83:N83"/>
    <mergeCell ref="B72:C72"/>
    <mergeCell ref="M68:N68"/>
    <mergeCell ref="M34:N34"/>
    <mergeCell ref="B81:C81"/>
    <mergeCell ref="M55:N55"/>
    <mergeCell ref="M52:N52"/>
    <mergeCell ref="M67:N67"/>
    <mergeCell ref="M49:N49"/>
    <mergeCell ref="B59:C59"/>
    <mergeCell ref="F65:G65"/>
    <mergeCell ref="B46:C46"/>
    <mergeCell ref="F40:G40"/>
    <mergeCell ref="B39:C39"/>
    <mergeCell ref="F59:G59"/>
    <mergeCell ref="B70:C70"/>
    <mergeCell ref="F55:G55"/>
    <mergeCell ref="B48:C48"/>
    <mergeCell ref="M56:N56"/>
    <mergeCell ref="B15:C15"/>
    <mergeCell ref="F48:G48"/>
    <mergeCell ref="B80:C80"/>
    <mergeCell ref="B95:C95"/>
    <mergeCell ref="B89:C89"/>
    <mergeCell ref="M66:N66"/>
    <mergeCell ref="M63:N63"/>
    <mergeCell ref="B79:C79"/>
    <mergeCell ref="M53:N53"/>
    <mergeCell ref="M93:N93"/>
    <mergeCell ref="F64:G64"/>
    <mergeCell ref="F24:G24"/>
    <mergeCell ref="F95:G95"/>
    <mergeCell ref="M20:N20"/>
    <mergeCell ref="F51:G51"/>
    <mergeCell ref="B23:C23"/>
    <mergeCell ref="M94:N94"/>
    <mergeCell ref="F32:G32"/>
    <mergeCell ref="F26:G26"/>
    <mergeCell ref="M84:N84"/>
    <mergeCell ref="M27:N27"/>
    <mergeCell ref="F28:G28"/>
    <mergeCell ref="M41:N41"/>
    <mergeCell ref="M87:N87"/>
    <mergeCell ref="F61:G61"/>
    <mergeCell ref="M24:N24"/>
    <mergeCell ref="F39:G39"/>
    <mergeCell ref="M76:N76"/>
    <mergeCell ref="M91:N91"/>
    <mergeCell ref="F99:G99"/>
    <mergeCell ref="B66:C66"/>
    <mergeCell ref="B18:C18"/>
    <mergeCell ref="B27:C27"/>
    <mergeCell ref="F74:G74"/>
    <mergeCell ref="F83:G83"/>
    <mergeCell ref="G8:N8"/>
    <mergeCell ref="M64:N64"/>
    <mergeCell ref="M73:N73"/>
    <mergeCell ref="F30:G30"/>
    <mergeCell ref="M51:N51"/>
    <mergeCell ref="F20:G20"/>
    <mergeCell ref="F76:G76"/>
    <mergeCell ref="F18:G18"/>
    <mergeCell ref="F33:G33"/>
    <mergeCell ref="F45:G45"/>
    <mergeCell ref="F85:G85"/>
    <mergeCell ref="G10:N10"/>
    <mergeCell ref="F42:G42"/>
    <mergeCell ref="F94:G94"/>
    <mergeCell ref="F66:G66"/>
    <mergeCell ref="A11:M11"/>
    <mergeCell ref="F17:G17"/>
    <mergeCell ref="M13:N13"/>
    <mergeCell ref="B35:C35"/>
    <mergeCell ref="F88:G88"/>
    <mergeCell ref="A7:F7"/>
    <mergeCell ref="M92:N92"/>
    <mergeCell ref="B16:C16"/>
    <mergeCell ref="B25:C25"/>
    <mergeCell ref="B90:C90"/>
    <mergeCell ref="F54:G54"/>
    <mergeCell ref="F63:G63"/>
    <mergeCell ref="F19:G19"/>
    <mergeCell ref="F34:G34"/>
    <mergeCell ref="M44:N44"/>
    <mergeCell ref="F75:G75"/>
    <mergeCell ref="B53:C53"/>
    <mergeCell ref="M65:N65"/>
    <mergeCell ref="M21:N21"/>
    <mergeCell ref="F62:G62"/>
    <mergeCell ref="B29:C29"/>
    <mergeCell ref="F47:G47"/>
    <mergeCell ref="B37:C37"/>
    <mergeCell ref="A9:F9"/>
    <mergeCell ref="F31:G31"/>
    <mergeCell ref="F46:G46"/>
    <mergeCell ref="B84:C84"/>
    <mergeCell ref="B13:C13"/>
    <mergeCell ref="B69:C69"/>
    <mergeCell ref="M16:N16"/>
    <mergeCell ref="M25:N25"/>
    <mergeCell ref="B38:C38"/>
    <mergeCell ref="B78:C78"/>
    <mergeCell ref="F72:G72"/>
    <mergeCell ref="F81:G81"/>
    <mergeCell ref="F23:G23"/>
    <mergeCell ref="M36:N36"/>
    <mergeCell ref="M18:N18"/>
    <mergeCell ref="M33:N33"/>
    <mergeCell ref="M45:N45"/>
    <mergeCell ref="F13:G13"/>
    <mergeCell ref="B40:C40"/>
    <mergeCell ref="F71:G71"/>
    <mergeCell ref="B49:C49"/>
    <mergeCell ref="F56:G56"/>
    <mergeCell ref="M17:N17"/>
    <mergeCell ref="F43:G43"/>
    <mergeCell ref="B55:C55"/>
    <mergeCell ref="B24:C24"/>
    <mergeCell ref="B64:C64"/>
    <mergeCell ref="B33:C33"/>
    <mergeCell ref="F15:G15"/>
    <mergeCell ref="F86:G86"/>
    <mergeCell ref="F80:G80"/>
    <mergeCell ref="B67:C67"/>
    <mergeCell ref="M54:N54"/>
    <mergeCell ref="B61:C61"/>
    <mergeCell ref="M90:N90"/>
    <mergeCell ref="B14:C14"/>
    <mergeCell ref="M99:N99"/>
    <mergeCell ref="F79:G79"/>
    <mergeCell ref="F70:G70"/>
    <mergeCell ref="M74:N74"/>
    <mergeCell ref="M85:N85"/>
    <mergeCell ref="F96:G96"/>
    <mergeCell ref="M47:N47"/>
    <mergeCell ref="M62:N62"/>
    <mergeCell ref="B51:C51"/>
    <mergeCell ref="F98:G98"/>
    <mergeCell ref="M19:N19"/>
    <mergeCell ref="B32:C32"/>
    <mergeCell ref="B63:C63"/>
    <mergeCell ref="B26:C26"/>
    <mergeCell ref="B41:C41"/>
    <mergeCell ref="M50:N50"/>
    <mergeCell ref="B91:C91"/>
    <mergeCell ref="B100:C100"/>
    <mergeCell ref="M43:N43"/>
    <mergeCell ref="F29:G29"/>
    <mergeCell ref="M59:N59"/>
    <mergeCell ref="F16:G16"/>
    <mergeCell ref="F68:G68"/>
    <mergeCell ref="F25:G25"/>
    <mergeCell ref="M98:N98"/>
    <mergeCell ref="B22:C22"/>
    <mergeCell ref="B93:C93"/>
    <mergeCell ref="F84:G84"/>
    <mergeCell ref="B31:C31"/>
    <mergeCell ref="M79:N79"/>
    <mergeCell ref="M88:N88"/>
    <mergeCell ref="B77:C77"/>
    <mergeCell ref="M70:N70"/>
    <mergeCell ref="M82:N82"/>
    <mergeCell ref="B21:C21"/>
    <mergeCell ref="B86:C86"/>
    <mergeCell ref="M60:N60"/>
    <mergeCell ref="M35:N35"/>
    <mergeCell ref="M100:N100"/>
    <mergeCell ref="F57:G5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49"/>
  <sheetViews>
    <sheetView showGridLines="0" zoomScale="85" zoomScaleNormal="85" workbookViewId="0">
      <selection activeCell="M16" sqref="M16"/>
    </sheetView>
  </sheetViews>
  <sheetFormatPr baseColWidth="10" defaultColWidth="8.85546875" defaultRowHeight="15"/>
  <cols>
    <col min="1" max="1" width="25.28515625" customWidth="1"/>
    <col min="2" max="2" width="3.85546875" customWidth="1"/>
    <col min="3" max="3" width="21.28515625" customWidth="1"/>
    <col min="4" max="4" width="3" customWidth="1"/>
    <col min="5" max="5" width="30.28515625" customWidth="1"/>
    <col min="6" max="6" width="5.28515625" customWidth="1"/>
    <col min="7" max="7" width="6.85546875" customWidth="1"/>
    <col min="8" max="8" width="5.28515625" customWidth="1"/>
    <col min="9" max="9" width="6.85546875" customWidth="1"/>
    <col min="10" max="10" width="7.42578125" customWidth="1"/>
    <col min="11" max="11" width="8.42578125" customWidth="1"/>
    <col min="12" max="12" width="2.28515625" customWidth="1"/>
    <col min="13" max="13" width="8.140625" customWidth="1"/>
    <col min="14" max="14" width="24.42578125" customWidth="1"/>
    <col min="15" max="15" width="32.140625" customWidth="1"/>
    <col min="16" max="18" width="30.28515625" customWidth="1"/>
    <col min="19" max="19" width="78.85546875" bestFit="1" customWidth="1"/>
  </cols>
  <sheetData>
    <row r="1" spans="1:14">
      <c r="A1" s="71"/>
      <c r="B1" s="65"/>
      <c r="C1" s="71"/>
      <c r="D1" s="65"/>
      <c r="E1" s="65"/>
      <c r="F1" s="65"/>
      <c r="G1" s="65"/>
      <c r="H1" s="65"/>
      <c r="I1" s="65"/>
      <c r="J1" s="65"/>
      <c r="K1" s="65"/>
      <c r="L1" s="65"/>
    </row>
    <row r="2" spans="1:14" ht="15.75" customHeight="1">
      <c r="C2" s="72" t="s">
        <v>0</v>
      </c>
      <c r="D2" s="65"/>
      <c r="E2" s="65"/>
      <c r="F2" s="65"/>
      <c r="G2" s="65"/>
      <c r="H2" s="65"/>
      <c r="I2" s="65"/>
      <c r="J2" s="65"/>
      <c r="K2" s="65"/>
      <c r="L2" s="65"/>
    </row>
    <row r="3" spans="1:14">
      <c r="C3" s="80" t="s">
        <v>1</v>
      </c>
      <c r="D3" s="65"/>
      <c r="E3" s="65"/>
      <c r="F3" s="65"/>
      <c r="G3" s="65"/>
      <c r="H3" s="65"/>
      <c r="I3" s="65"/>
      <c r="J3" s="65"/>
      <c r="K3" s="65"/>
      <c r="L3" s="65"/>
    </row>
    <row r="4" spans="1:14">
      <c r="C4" s="80" t="s">
        <v>2</v>
      </c>
      <c r="D4" s="65"/>
      <c r="E4" s="65"/>
      <c r="F4" s="65"/>
      <c r="G4" s="65"/>
      <c r="H4" s="65"/>
      <c r="I4" s="65"/>
      <c r="J4" s="65"/>
      <c r="K4" s="65"/>
      <c r="L4" s="65"/>
    </row>
    <row r="5" spans="1:14">
      <c r="C5" s="80" t="s">
        <v>3</v>
      </c>
      <c r="D5" s="65"/>
      <c r="E5" s="65"/>
      <c r="F5" s="65"/>
      <c r="G5" s="65"/>
      <c r="H5" s="65"/>
      <c r="I5" s="65"/>
      <c r="J5" s="65"/>
      <c r="K5" s="65"/>
      <c r="L5" s="65"/>
    </row>
    <row r="6" spans="1:14">
      <c r="A6" s="1"/>
      <c r="B6" s="1"/>
      <c r="C6" s="77"/>
      <c r="D6" s="68"/>
      <c r="E6" s="68"/>
      <c r="F6" s="68"/>
      <c r="G6" s="68"/>
      <c r="H6" s="68"/>
      <c r="I6" s="68"/>
      <c r="J6" s="68"/>
      <c r="K6" s="68"/>
      <c r="L6" s="68"/>
    </row>
    <row r="7" spans="1:14">
      <c r="A7" s="62" t="s">
        <v>4</v>
      </c>
      <c r="B7" s="63"/>
      <c r="C7" s="63"/>
      <c r="D7" s="63"/>
      <c r="E7" s="73" t="s">
        <v>5</v>
      </c>
      <c r="F7" s="63"/>
      <c r="G7" s="63"/>
      <c r="H7" s="63"/>
      <c r="I7" s="63"/>
      <c r="J7" s="63"/>
      <c r="K7" s="63"/>
      <c r="L7" s="74"/>
    </row>
    <row r="8" spans="1:14" ht="15.75" customHeight="1">
      <c r="A8" s="75" t="s">
        <v>6</v>
      </c>
      <c r="B8" s="65"/>
      <c r="C8" s="65"/>
      <c r="D8" s="65"/>
      <c r="E8" s="64" t="s">
        <v>7</v>
      </c>
      <c r="F8" s="65"/>
      <c r="G8" s="65"/>
      <c r="H8" s="65"/>
      <c r="I8" s="65"/>
      <c r="J8" s="65"/>
      <c r="K8" s="65"/>
      <c r="L8" s="66"/>
    </row>
    <row r="9" spans="1:14">
      <c r="A9" s="70" t="s">
        <v>8</v>
      </c>
      <c r="B9" s="65"/>
      <c r="C9" s="65"/>
      <c r="D9" s="65"/>
      <c r="E9" s="79" t="s">
        <v>9</v>
      </c>
      <c r="F9" s="65"/>
      <c r="G9" s="65"/>
      <c r="H9" s="65"/>
      <c r="I9" s="65"/>
      <c r="J9" s="65"/>
      <c r="K9" s="65"/>
      <c r="L9" s="66"/>
    </row>
    <row r="10" spans="1:14" ht="15.75" customHeight="1">
      <c r="A10" s="76" t="s">
        <v>10</v>
      </c>
      <c r="B10" s="68"/>
      <c r="C10" s="68"/>
      <c r="D10" s="68"/>
      <c r="E10" s="67" t="s">
        <v>11</v>
      </c>
      <c r="F10" s="68"/>
      <c r="G10" s="68"/>
      <c r="H10" s="68"/>
      <c r="I10" s="68"/>
      <c r="J10" s="68"/>
      <c r="K10" s="68"/>
      <c r="L10" s="61"/>
    </row>
    <row r="11" spans="1:14">
      <c r="A11" s="69"/>
      <c r="B11" s="65"/>
      <c r="C11" s="65"/>
      <c r="D11" s="65"/>
      <c r="E11" s="65"/>
      <c r="F11" s="65"/>
      <c r="G11" s="65"/>
      <c r="H11" s="65"/>
      <c r="I11" s="65"/>
      <c r="J11" s="65"/>
      <c r="K11" s="65"/>
    </row>
    <row r="12" spans="1:14">
      <c r="A12" s="91" t="s">
        <v>198</v>
      </c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56"/>
      <c r="N12" s="17" t="s">
        <v>199</v>
      </c>
    </row>
    <row r="14" spans="1:14">
      <c r="A14" s="5" t="s">
        <v>200</v>
      </c>
      <c r="B14" s="89" t="s">
        <v>362</v>
      </c>
      <c r="C14" s="82"/>
      <c r="D14" s="82"/>
      <c r="E14" s="82"/>
      <c r="F14" s="82"/>
      <c r="G14" s="82"/>
      <c r="H14" s="82"/>
      <c r="I14" s="82"/>
      <c r="J14" s="82"/>
      <c r="K14" s="82"/>
      <c r="L14" s="56"/>
      <c r="N14" s="12" t="s">
        <v>201</v>
      </c>
    </row>
    <row r="15" spans="1:14">
      <c r="A15" s="5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N15" s="12"/>
    </row>
    <row r="16" spans="1:14">
      <c r="A16" s="5" t="s">
        <v>202</v>
      </c>
      <c r="B16" s="85" t="s">
        <v>203</v>
      </c>
      <c r="C16" s="82"/>
      <c r="D16" s="82"/>
      <c r="E16" s="82"/>
      <c r="F16" s="82"/>
      <c r="G16" s="82"/>
      <c r="H16" s="82"/>
      <c r="I16" s="82"/>
      <c r="J16" s="82"/>
      <c r="K16" s="82"/>
      <c r="L16" s="56"/>
      <c r="N16" s="12" t="s">
        <v>204</v>
      </c>
    </row>
    <row r="17" spans="1:14">
      <c r="A17" s="5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N17" s="12"/>
    </row>
    <row r="18" spans="1:14">
      <c r="A18" s="5" t="s">
        <v>205</v>
      </c>
      <c r="B18" s="89" t="s">
        <v>361</v>
      </c>
      <c r="C18" s="82"/>
      <c r="D18" s="82"/>
      <c r="E18" s="82"/>
      <c r="F18" s="82"/>
      <c r="G18" s="82"/>
      <c r="H18" s="82"/>
      <c r="I18" s="82"/>
      <c r="J18" s="82"/>
      <c r="K18" s="82"/>
      <c r="L18" s="56"/>
      <c r="N18" s="12" t="s">
        <v>206</v>
      </c>
    </row>
    <row r="19" spans="1:14">
      <c r="A19" s="5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N19" s="12"/>
    </row>
    <row r="20" spans="1:14">
      <c r="A20" s="5" t="s">
        <v>207</v>
      </c>
      <c r="B20" s="107" t="s">
        <v>360</v>
      </c>
      <c r="C20" s="82"/>
      <c r="D20" s="82"/>
      <c r="E20" s="82"/>
      <c r="F20" s="82"/>
      <c r="G20" s="82"/>
      <c r="H20" s="82"/>
      <c r="I20" s="82"/>
      <c r="J20" s="82"/>
      <c r="K20" s="82"/>
      <c r="L20" s="56"/>
      <c r="N20" s="12" t="s">
        <v>208</v>
      </c>
    </row>
    <row r="21" spans="1:14">
      <c r="A21" s="5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N21" s="12"/>
    </row>
    <row r="22" spans="1:14">
      <c r="A22" s="5" t="s">
        <v>209</v>
      </c>
      <c r="B22" s="89" t="s">
        <v>363</v>
      </c>
      <c r="C22" s="82"/>
      <c r="D22" s="82"/>
      <c r="E22" s="82"/>
      <c r="F22" s="82"/>
      <c r="G22" s="82"/>
      <c r="H22" s="82"/>
      <c r="I22" s="82"/>
      <c r="J22" s="82"/>
      <c r="K22" s="82"/>
      <c r="L22" s="56"/>
      <c r="N22" s="12" t="s">
        <v>210</v>
      </c>
    </row>
    <row r="23" spans="1:14">
      <c r="A23" s="5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N23" s="12"/>
    </row>
    <row r="24" spans="1:14">
      <c r="A24" s="5" t="s">
        <v>211</v>
      </c>
      <c r="B24" s="85" t="s">
        <v>212</v>
      </c>
      <c r="C24" s="82"/>
      <c r="D24" s="82"/>
      <c r="E24" s="82"/>
      <c r="F24" s="82"/>
      <c r="G24" s="82"/>
      <c r="H24" s="82"/>
      <c r="I24" s="82"/>
      <c r="J24" s="82"/>
      <c r="K24" s="82"/>
      <c r="L24" s="56"/>
      <c r="N24" s="12" t="s">
        <v>213</v>
      </c>
    </row>
    <row r="25" spans="1:14">
      <c r="A25" s="5" t="s">
        <v>214</v>
      </c>
      <c r="B25" s="85" t="s">
        <v>215</v>
      </c>
      <c r="C25" s="82"/>
      <c r="D25" s="82"/>
      <c r="E25" s="82"/>
      <c r="F25" s="82"/>
      <c r="G25" s="82"/>
      <c r="H25" s="82"/>
      <c r="I25" s="82"/>
      <c r="J25" s="82"/>
      <c r="K25" s="82"/>
      <c r="L25" s="56"/>
      <c r="N25" s="12" t="s">
        <v>216</v>
      </c>
    </row>
    <row r="26" spans="1:14">
      <c r="A26" s="5" t="s">
        <v>217</v>
      </c>
      <c r="B26" s="85" t="s">
        <v>218</v>
      </c>
      <c r="C26" s="82"/>
      <c r="D26" s="82"/>
      <c r="E26" s="82"/>
      <c r="F26" s="82"/>
      <c r="G26" s="82"/>
      <c r="H26" s="82"/>
      <c r="I26" s="82"/>
      <c r="J26" s="82"/>
      <c r="K26" s="82"/>
      <c r="L26" s="56"/>
      <c r="N26" s="12" t="s">
        <v>219</v>
      </c>
    </row>
    <row r="27" spans="1:14">
      <c r="A27" s="5" t="s">
        <v>220</v>
      </c>
      <c r="B27" s="85" t="s">
        <v>221</v>
      </c>
      <c r="C27" s="82"/>
      <c r="D27" s="82"/>
      <c r="E27" s="82"/>
      <c r="F27" s="82"/>
      <c r="G27" s="82"/>
      <c r="H27" s="82"/>
      <c r="I27" s="82"/>
      <c r="J27" s="82"/>
      <c r="K27" s="82"/>
      <c r="L27" s="56"/>
      <c r="N27" s="12" t="s">
        <v>222</v>
      </c>
    </row>
    <row r="28" spans="1:14">
      <c r="A28" s="5" t="s">
        <v>223</v>
      </c>
      <c r="B28" s="85" t="s">
        <v>224</v>
      </c>
      <c r="C28" s="82"/>
      <c r="D28" s="82"/>
      <c r="E28" s="82"/>
      <c r="F28" s="82"/>
      <c r="G28" s="82"/>
      <c r="H28" s="82"/>
      <c r="I28" s="82"/>
      <c r="J28" s="82"/>
      <c r="K28" s="82"/>
      <c r="L28" s="56"/>
      <c r="N28" s="12" t="s">
        <v>225</v>
      </c>
    </row>
    <row r="29" spans="1:14">
      <c r="A29" s="5"/>
      <c r="N29" s="11"/>
    </row>
    <row r="30" spans="1:14">
      <c r="A30" s="10" t="s">
        <v>226</v>
      </c>
      <c r="N30" s="11"/>
    </row>
    <row r="31" spans="1:14">
      <c r="A31" s="15" t="s">
        <v>227</v>
      </c>
      <c r="N31" s="11"/>
    </row>
    <row r="32" spans="1:14">
      <c r="A32" s="6" t="s">
        <v>228</v>
      </c>
      <c r="B32" s="89" t="s">
        <v>229</v>
      </c>
      <c r="C32" s="102"/>
      <c r="N32" s="11" t="s">
        <v>230</v>
      </c>
    </row>
    <row r="34" spans="1:19">
      <c r="A34" s="14" t="s">
        <v>231</v>
      </c>
      <c r="B34" s="5" t="s">
        <v>232</v>
      </c>
      <c r="E34" s="5" t="s">
        <v>233</v>
      </c>
      <c r="G34" s="5" t="s">
        <v>234</v>
      </c>
      <c r="N34" s="20" t="s">
        <v>235</v>
      </c>
    </row>
    <row r="35" spans="1:19">
      <c r="A35" s="6" t="s">
        <v>236</v>
      </c>
      <c r="B35" s="89" t="s">
        <v>237</v>
      </c>
      <c r="C35" s="56"/>
      <c r="E35" s="16" t="s">
        <v>260</v>
      </c>
      <c r="G35" s="11" t="s">
        <v>239</v>
      </c>
      <c r="N35" s="9" t="s">
        <v>240</v>
      </c>
      <c r="O35" s="9" t="s">
        <v>241</v>
      </c>
      <c r="P35" s="87" t="s">
        <v>242</v>
      </c>
      <c r="Q35" s="82"/>
      <c r="R35" s="56"/>
      <c r="S35" s="9" t="s">
        <v>243</v>
      </c>
    </row>
    <row r="36" spans="1:19">
      <c r="A36" s="6" t="s">
        <v>244</v>
      </c>
      <c r="B36" s="89" t="s">
        <v>245</v>
      </c>
      <c r="C36" s="56"/>
      <c r="E36" s="16" t="s">
        <v>260</v>
      </c>
      <c r="G36" s="11" t="s">
        <v>246</v>
      </c>
      <c r="N36" s="7" t="s">
        <v>238</v>
      </c>
      <c r="O36" s="8" t="s">
        <v>247</v>
      </c>
      <c r="P36" s="84" t="s">
        <v>248</v>
      </c>
      <c r="Q36" s="82"/>
      <c r="R36" s="56"/>
      <c r="S36" s="8" t="s">
        <v>249</v>
      </c>
    </row>
    <row r="37" spans="1:19">
      <c r="A37" s="6" t="s">
        <v>250</v>
      </c>
      <c r="B37" s="89" t="s">
        <v>251</v>
      </c>
      <c r="C37" s="56"/>
      <c r="E37" s="16" t="s">
        <v>238</v>
      </c>
      <c r="G37" s="11" t="s">
        <v>252</v>
      </c>
      <c r="N37" s="7" t="s">
        <v>253</v>
      </c>
      <c r="O37" s="8" t="s">
        <v>254</v>
      </c>
      <c r="P37" s="84" t="s">
        <v>255</v>
      </c>
      <c r="Q37" s="82"/>
      <c r="R37" s="56"/>
      <c r="S37" s="8" t="s">
        <v>256</v>
      </c>
    </row>
    <row r="38" spans="1:19">
      <c r="A38" s="6" t="s">
        <v>257</v>
      </c>
      <c r="B38" s="89" t="s">
        <v>258</v>
      </c>
      <c r="C38" s="56"/>
      <c r="E38" s="44" t="s">
        <v>238</v>
      </c>
      <c r="G38" s="11" t="s">
        <v>259</v>
      </c>
      <c r="N38" s="7" t="s">
        <v>260</v>
      </c>
      <c r="O38" s="8" t="s">
        <v>261</v>
      </c>
      <c r="P38" s="84" t="s">
        <v>262</v>
      </c>
      <c r="Q38" s="82"/>
      <c r="R38" s="56"/>
      <c r="S38" s="8" t="s">
        <v>263</v>
      </c>
    </row>
    <row r="39" spans="1:19">
      <c r="A39" s="6" t="s">
        <v>264</v>
      </c>
      <c r="B39" s="89" t="s">
        <v>265</v>
      </c>
      <c r="C39" s="56"/>
      <c r="E39" s="16" t="s">
        <v>238</v>
      </c>
      <c r="G39" s="11" t="s">
        <v>266</v>
      </c>
      <c r="N39" s="7" t="s">
        <v>267</v>
      </c>
      <c r="O39" s="8" t="s">
        <v>268</v>
      </c>
      <c r="P39" s="84" t="s">
        <v>269</v>
      </c>
      <c r="Q39" s="82"/>
      <c r="R39" s="56"/>
      <c r="S39" s="8" t="s">
        <v>270</v>
      </c>
    </row>
    <row r="40" spans="1:19">
      <c r="A40" s="6" t="s">
        <v>271</v>
      </c>
      <c r="B40" s="89" t="s">
        <v>272</v>
      </c>
      <c r="C40" s="56"/>
      <c r="E40" s="16" t="s">
        <v>238</v>
      </c>
      <c r="G40" s="11" t="s">
        <v>273</v>
      </c>
      <c r="N40" s="7" t="s">
        <v>274</v>
      </c>
      <c r="O40" s="8" t="s">
        <v>275</v>
      </c>
      <c r="P40" s="84" t="s">
        <v>276</v>
      </c>
      <c r="Q40" s="82"/>
      <c r="R40" s="56"/>
      <c r="S40" s="8" t="s">
        <v>277</v>
      </c>
    </row>
    <row r="41" spans="1:19">
      <c r="A41" s="6" t="s">
        <v>278</v>
      </c>
      <c r="B41" s="89" t="s">
        <v>279</v>
      </c>
      <c r="C41" s="56"/>
      <c r="E41" s="16" t="s">
        <v>238</v>
      </c>
      <c r="G41" s="11" t="s">
        <v>280</v>
      </c>
      <c r="N41" s="7" t="s">
        <v>281</v>
      </c>
      <c r="O41" s="8" t="s">
        <v>282</v>
      </c>
      <c r="P41" s="84" t="s">
        <v>283</v>
      </c>
      <c r="Q41" s="82"/>
      <c r="R41" s="56"/>
      <c r="S41" s="8" t="s">
        <v>284</v>
      </c>
    </row>
    <row r="42" spans="1:19">
      <c r="A42" s="6" t="s">
        <v>285</v>
      </c>
      <c r="B42" s="89" t="s">
        <v>286</v>
      </c>
      <c r="C42" s="56"/>
      <c r="E42" s="16" t="s">
        <v>238</v>
      </c>
      <c r="G42" s="11" t="s">
        <v>287</v>
      </c>
    </row>
    <row r="43" spans="1:19">
      <c r="A43" s="6" t="s">
        <v>288</v>
      </c>
      <c r="B43" s="89" t="s">
        <v>289</v>
      </c>
      <c r="C43" s="56"/>
      <c r="E43" s="16" t="s">
        <v>238</v>
      </c>
      <c r="G43" s="11" t="s">
        <v>290</v>
      </c>
    </row>
    <row r="44" spans="1:19">
      <c r="A44" s="6" t="s">
        <v>291</v>
      </c>
      <c r="B44" s="89" t="s">
        <v>292</v>
      </c>
      <c r="C44" s="56"/>
      <c r="E44" s="16" t="s">
        <v>238</v>
      </c>
      <c r="G44" s="11" t="s">
        <v>293</v>
      </c>
    </row>
    <row r="45" spans="1:19">
      <c r="A45" s="6" t="s">
        <v>291</v>
      </c>
      <c r="B45" s="89" t="s">
        <v>294</v>
      </c>
      <c r="C45" s="56"/>
      <c r="E45" s="16" t="s">
        <v>260</v>
      </c>
    </row>
    <row r="46" spans="1:19">
      <c r="A46" s="15" t="s">
        <v>295</v>
      </c>
      <c r="B46" s="11" t="s">
        <v>296</v>
      </c>
    </row>
    <row r="47" spans="1:19">
      <c r="A47" s="15"/>
      <c r="B47" s="11"/>
    </row>
    <row r="48" spans="1:19">
      <c r="A48" s="24" t="s">
        <v>236</v>
      </c>
      <c r="B48" s="86" t="s">
        <v>244</v>
      </c>
      <c r="C48" s="82"/>
      <c r="D48" s="56"/>
      <c r="E48" s="24" t="s">
        <v>250</v>
      </c>
      <c r="F48" s="86" t="s">
        <v>257</v>
      </c>
      <c r="G48" s="82"/>
      <c r="H48" s="82"/>
      <c r="I48" s="56"/>
      <c r="J48" s="86" t="s">
        <v>264</v>
      </c>
      <c r="K48" s="82"/>
      <c r="L48" s="82"/>
      <c r="M48" s="56"/>
      <c r="N48" s="24" t="s">
        <v>271</v>
      </c>
      <c r="O48" s="24" t="s">
        <v>278</v>
      </c>
      <c r="P48" s="24" t="s">
        <v>285</v>
      </c>
      <c r="Q48" s="24" t="s">
        <v>288</v>
      </c>
      <c r="R48" s="24" t="s">
        <v>291</v>
      </c>
      <c r="S48" s="24" t="s">
        <v>297</v>
      </c>
    </row>
    <row r="49" spans="1:20">
      <c r="A49" s="18" t="s">
        <v>237</v>
      </c>
      <c r="B49" s="92" t="s">
        <v>245</v>
      </c>
      <c r="C49" s="82"/>
      <c r="D49" s="56"/>
      <c r="E49" s="19" t="s">
        <v>251</v>
      </c>
      <c r="F49" s="88" t="s">
        <v>258</v>
      </c>
      <c r="G49" s="82"/>
      <c r="H49" s="82"/>
      <c r="I49" s="56"/>
      <c r="J49" s="88" t="s">
        <v>265</v>
      </c>
      <c r="K49" s="82"/>
      <c r="L49" s="82"/>
      <c r="M49" s="56"/>
      <c r="N49" s="18" t="s">
        <v>272</v>
      </c>
      <c r="O49" s="18" t="s">
        <v>279</v>
      </c>
      <c r="P49" s="18" t="s">
        <v>286</v>
      </c>
      <c r="Q49" s="18" t="s">
        <v>289</v>
      </c>
      <c r="R49" s="18" t="s">
        <v>298</v>
      </c>
      <c r="S49" s="18" t="s">
        <v>294</v>
      </c>
      <c r="T49" s="3" t="s">
        <v>299</v>
      </c>
    </row>
    <row r="50" spans="1:20">
      <c r="A50" s="21" t="s">
        <v>300</v>
      </c>
      <c r="B50" s="81" t="s">
        <v>301</v>
      </c>
      <c r="C50" s="82"/>
      <c r="D50" s="56"/>
      <c r="E50" s="22">
        <v>4</v>
      </c>
      <c r="F50" s="83">
        <v>315205</v>
      </c>
      <c r="G50" s="82"/>
      <c r="H50" s="82"/>
      <c r="I50" s="56"/>
      <c r="J50" s="83">
        <v>235115</v>
      </c>
      <c r="K50" s="82"/>
      <c r="L50" s="82"/>
      <c r="M50" s="56"/>
      <c r="N50" s="23">
        <v>0.746</v>
      </c>
      <c r="O50" s="23">
        <v>68</v>
      </c>
      <c r="P50" s="23">
        <v>69</v>
      </c>
      <c r="Q50" s="23">
        <v>2.69</v>
      </c>
      <c r="R50" s="23">
        <v>25.89</v>
      </c>
      <c r="S50" s="52" t="s">
        <v>302</v>
      </c>
    </row>
    <row r="51" spans="1:20">
      <c r="A51" s="23" t="s">
        <v>303</v>
      </c>
      <c r="B51" s="81" t="s">
        <v>304</v>
      </c>
      <c r="C51" s="82"/>
      <c r="D51" s="56"/>
      <c r="E51" s="22">
        <v>65</v>
      </c>
      <c r="F51" s="83">
        <v>260519</v>
      </c>
      <c r="G51" s="82"/>
      <c r="H51" s="82"/>
      <c r="I51" s="56"/>
      <c r="J51" s="83">
        <v>148815</v>
      </c>
      <c r="K51" s="82"/>
      <c r="L51" s="82"/>
      <c r="M51" s="56"/>
      <c r="N51" s="23">
        <v>0.57099999999999995</v>
      </c>
      <c r="O51" s="23">
        <v>48</v>
      </c>
      <c r="P51" s="23">
        <v>69</v>
      </c>
      <c r="Q51" s="23">
        <v>3.09</v>
      </c>
      <c r="R51" s="23">
        <v>27.5</v>
      </c>
      <c r="S51" s="52" t="s">
        <v>302</v>
      </c>
    </row>
    <row r="52" spans="1:20">
      <c r="A52" s="23" t="s">
        <v>305</v>
      </c>
      <c r="B52" s="81" t="s">
        <v>304</v>
      </c>
      <c r="C52" s="82"/>
      <c r="D52" s="56"/>
      <c r="E52" s="22">
        <v>90</v>
      </c>
      <c r="F52" s="83">
        <v>1585119</v>
      </c>
      <c r="G52" s="82"/>
      <c r="H52" s="82"/>
      <c r="I52" s="56"/>
      <c r="J52" s="83">
        <v>1303285</v>
      </c>
      <c r="K52" s="82"/>
      <c r="L52" s="82"/>
      <c r="M52" s="56"/>
      <c r="N52" s="23">
        <v>0.82199999999999995</v>
      </c>
      <c r="O52" s="23">
        <v>55</v>
      </c>
      <c r="P52" s="23">
        <v>11</v>
      </c>
      <c r="Q52" s="23">
        <v>2.72</v>
      </c>
      <c r="R52" s="23">
        <v>22.18</v>
      </c>
      <c r="S52" s="52" t="s">
        <v>302</v>
      </c>
    </row>
    <row r="53" spans="1:20">
      <c r="A53" s="23" t="s">
        <v>306</v>
      </c>
      <c r="B53" s="81" t="s">
        <v>301</v>
      </c>
      <c r="C53" s="82"/>
      <c r="D53" s="56"/>
      <c r="E53" s="22">
        <v>94</v>
      </c>
      <c r="F53" s="83">
        <v>798264</v>
      </c>
      <c r="G53" s="82"/>
      <c r="H53" s="82"/>
      <c r="I53" s="56"/>
      <c r="J53" s="83">
        <v>781486</v>
      </c>
      <c r="K53" s="82"/>
      <c r="L53" s="82"/>
      <c r="M53" s="56"/>
      <c r="N53" s="23">
        <v>0.97899999999999998</v>
      </c>
      <c r="O53" s="23">
        <v>64</v>
      </c>
      <c r="P53" s="23">
        <v>274</v>
      </c>
      <c r="Q53" s="23">
        <v>3.82</v>
      </c>
      <c r="R53" s="23">
        <v>18.3</v>
      </c>
      <c r="S53" s="52" t="s">
        <v>302</v>
      </c>
    </row>
    <row r="54" spans="1:20">
      <c r="A54" s="23" t="s">
        <v>306</v>
      </c>
      <c r="B54" s="81" t="s">
        <v>304</v>
      </c>
      <c r="C54" s="82"/>
      <c r="D54" s="56"/>
      <c r="E54" s="22">
        <v>91</v>
      </c>
      <c r="F54" s="83">
        <v>157034</v>
      </c>
      <c r="G54" s="82"/>
      <c r="H54" s="82"/>
      <c r="I54" s="56"/>
      <c r="J54" s="83">
        <v>92125</v>
      </c>
      <c r="K54" s="82"/>
      <c r="L54" s="82"/>
      <c r="M54" s="56"/>
      <c r="N54" s="23">
        <v>0.58699999999999997</v>
      </c>
      <c r="O54" s="23">
        <v>35</v>
      </c>
      <c r="P54" s="23">
        <v>29</v>
      </c>
      <c r="Q54" s="23">
        <v>3.4</v>
      </c>
      <c r="R54" s="23">
        <v>23.43</v>
      </c>
      <c r="S54" s="52" t="s">
        <v>307</v>
      </c>
    </row>
    <row r="55" spans="1:20">
      <c r="A55" s="23" t="s">
        <v>306</v>
      </c>
      <c r="B55" s="81" t="s">
        <v>304</v>
      </c>
      <c r="C55" s="82"/>
      <c r="D55" s="56"/>
      <c r="E55" s="22">
        <v>48</v>
      </c>
      <c r="F55" s="83">
        <v>653444</v>
      </c>
      <c r="G55" s="82"/>
      <c r="H55" s="82"/>
      <c r="I55" s="56"/>
      <c r="J55" s="83">
        <v>468915</v>
      </c>
      <c r="K55" s="82"/>
      <c r="L55" s="82"/>
      <c r="M55" s="56"/>
      <c r="N55" s="23">
        <v>0.71799999999999997</v>
      </c>
      <c r="O55" s="23">
        <v>61</v>
      </c>
      <c r="P55" s="23">
        <v>9</v>
      </c>
      <c r="Q55" s="23">
        <v>2.98</v>
      </c>
      <c r="R55" s="23">
        <v>11.1</v>
      </c>
      <c r="S55" s="52" t="s">
        <v>307</v>
      </c>
    </row>
    <row r="56" spans="1:20">
      <c r="A56" s="23" t="s">
        <v>303</v>
      </c>
      <c r="B56" s="81" t="s">
        <v>308</v>
      </c>
      <c r="C56" s="82"/>
      <c r="D56" s="56"/>
      <c r="E56" s="22">
        <v>49</v>
      </c>
      <c r="F56" s="83">
        <v>90310</v>
      </c>
      <c r="G56" s="82"/>
      <c r="H56" s="82"/>
      <c r="I56" s="56"/>
      <c r="J56" s="83">
        <v>121161</v>
      </c>
      <c r="K56" s="82"/>
      <c r="L56" s="82"/>
      <c r="M56" s="56"/>
      <c r="N56" s="23">
        <v>1.3420000000000001</v>
      </c>
      <c r="O56" s="23">
        <v>35</v>
      </c>
      <c r="P56" s="23">
        <v>7</v>
      </c>
      <c r="Q56" s="23">
        <v>2.5099999999999998</v>
      </c>
      <c r="R56" s="23">
        <v>2.89</v>
      </c>
      <c r="S56" s="52" t="s">
        <v>302</v>
      </c>
    </row>
    <row r="57" spans="1:20">
      <c r="A57" s="23" t="s">
        <v>306</v>
      </c>
      <c r="B57" s="81" t="s">
        <v>301</v>
      </c>
      <c r="C57" s="82"/>
      <c r="D57" s="56"/>
      <c r="E57" s="22">
        <v>28</v>
      </c>
      <c r="F57" s="83">
        <v>688132</v>
      </c>
      <c r="G57" s="82"/>
      <c r="H57" s="82"/>
      <c r="I57" s="56"/>
      <c r="J57" s="83">
        <v>495524</v>
      </c>
      <c r="K57" s="82"/>
      <c r="L57" s="82"/>
      <c r="M57" s="56"/>
      <c r="N57" s="23">
        <v>0.72</v>
      </c>
      <c r="O57" s="23">
        <v>41</v>
      </c>
      <c r="P57" s="23">
        <v>58</v>
      </c>
      <c r="Q57" s="23">
        <v>2.69</v>
      </c>
      <c r="R57" s="23">
        <v>9.24</v>
      </c>
      <c r="S57" s="52" t="s">
        <v>307</v>
      </c>
    </row>
    <row r="58" spans="1:20">
      <c r="A58" s="23" t="s">
        <v>309</v>
      </c>
      <c r="B58" s="81" t="s">
        <v>310</v>
      </c>
      <c r="C58" s="82"/>
      <c r="D58" s="56"/>
      <c r="E58" s="22">
        <v>96</v>
      </c>
      <c r="F58" s="83">
        <v>733000</v>
      </c>
      <c r="G58" s="82"/>
      <c r="H58" s="82"/>
      <c r="I58" s="56"/>
      <c r="J58" s="83">
        <v>654383</v>
      </c>
      <c r="K58" s="82"/>
      <c r="L58" s="82"/>
      <c r="M58" s="56"/>
      <c r="N58" s="23">
        <v>0.89300000000000002</v>
      </c>
      <c r="O58" s="23">
        <v>19</v>
      </c>
      <c r="P58" s="23">
        <v>151</v>
      </c>
      <c r="Q58" s="23">
        <v>3.65</v>
      </c>
      <c r="R58" s="23">
        <v>6.36</v>
      </c>
      <c r="S58" s="52" t="s">
        <v>302</v>
      </c>
    </row>
    <row r="59" spans="1:20">
      <c r="A59" s="23" t="s">
        <v>305</v>
      </c>
      <c r="B59" s="81" t="s">
        <v>304</v>
      </c>
      <c r="C59" s="82"/>
      <c r="D59" s="56"/>
      <c r="E59" s="22">
        <v>81</v>
      </c>
      <c r="F59" s="83">
        <v>840494</v>
      </c>
      <c r="G59" s="82"/>
      <c r="H59" s="82"/>
      <c r="I59" s="56"/>
      <c r="J59" s="83">
        <v>994862</v>
      </c>
      <c r="K59" s="82"/>
      <c r="L59" s="82"/>
      <c r="M59" s="56"/>
      <c r="N59" s="23">
        <v>1.1839999999999999</v>
      </c>
      <c r="O59" s="23">
        <v>29</v>
      </c>
      <c r="P59" s="23">
        <v>8</v>
      </c>
      <c r="Q59" s="23">
        <v>2.71</v>
      </c>
      <c r="R59" s="23">
        <v>36.159999999999997</v>
      </c>
      <c r="S59" s="52" t="s">
        <v>307</v>
      </c>
    </row>
    <row r="60" spans="1:20">
      <c r="A60" s="23" t="s">
        <v>306</v>
      </c>
      <c r="B60" s="81" t="s">
        <v>301</v>
      </c>
      <c r="C60" s="82"/>
      <c r="D60" s="56"/>
      <c r="E60" s="22">
        <v>88</v>
      </c>
      <c r="F60" s="83">
        <v>249780</v>
      </c>
      <c r="G60" s="82"/>
      <c r="H60" s="82"/>
      <c r="I60" s="56"/>
      <c r="J60" s="83">
        <v>273601</v>
      </c>
      <c r="K60" s="82"/>
      <c r="L60" s="82"/>
      <c r="M60" s="56"/>
      <c r="N60" s="23">
        <v>1.095</v>
      </c>
      <c r="O60" s="23">
        <v>23</v>
      </c>
      <c r="P60" s="23">
        <v>14</v>
      </c>
      <c r="Q60" s="23">
        <v>2.63</v>
      </c>
      <c r="R60" s="23">
        <v>10.33</v>
      </c>
      <c r="S60" s="52" t="s">
        <v>302</v>
      </c>
    </row>
    <row r="61" spans="1:20">
      <c r="A61" s="23" t="s">
        <v>300</v>
      </c>
      <c r="B61" s="81" t="s">
        <v>310</v>
      </c>
      <c r="C61" s="82"/>
      <c r="D61" s="56"/>
      <c r="E61" s="22">
        <v>65</v>
      </c>
      <c r="F61" s="83">
        <v>136510</v>
      </c>
      <c r="G61" s="82"/>
      <c r="H61" s="82"/>
      <c r="I61" s="56"/>
      <c r="J61" s="83">
        <v>130523</v>
      </c>
      <c r="K61" s="82"/>
      <c r="L61" s="82"/>
      <c r="M61" s="56"/>
      <c r="N61" s="23">
        <v>0.95599999999999996</v>
      </c>
      <c r="O61" s="23">
        <v>40</v>
      </c>
      <c r="P61" s="23">
        <v>80</v>
      </c>
      <c r="Q61" s="23">
        <v>3</v>
      </c>
      <c r="R61" s="23">
        <v>38.700000000000003</v>
      </c>
      <c r="S61" s="52" t="s">
        <v>302</v>
      </c>
    </row>
    <row r="62" spans="1:20">
      <c r="A62" s="23" t="s">
        <v>303</v>
      </c>
      <c r="B62" s="81" t="s">
        <v>310</v>
      </c>
      <c r="C62" s="82"/>
      <c r="D62" s="56"/>
      <c r="E62" s="22">
        <v>98</v>
      </c>
      <c r="F62" s="83">
        <v>64947</v>
      </c>
      <c r="G62" s="82"/>
      <c r="H62" s="82"/>
      <c r="I62" s="56"/>
      <c r="J62" s="83">
        <v>63745</v>
      </c>
      <c r="K62" s="82"/>
      <c r="L62" s="82"/>
      <c r="M62" s="56"/>
      <c r="N62" s="23">
        <v>0.98099999999999998</v>
      </c>
      <c r="O62" s="23">
        <v>34</v>
      </c>
      <c r="P62" s="23">
        <v>41</v>
      </c>
      <c r="Q62" s="23">
        <v>3.01</v>
      </c>
      <c r="R62" s="23">
        <v>7.6</v>
      </c>
      <c r="S62" s="52" t="s">
        <v>302</v>
      </c>
    </row>
    <row r="63" spans="1:20">
      <c r="A63" s="23" t="s">
        <v>306</v>
      </c>
      <c r="B63" s="81" t="s">
        <v>304</v>
      </c>
      <c r="C63" s="82"/>
      <c r="D63" s="56"/>
      <c r="E63" s="22">
        <v>8</v>
      </c>
      <c r="F63" s="83">
        <v>516097</v>
      </c>
      <c r="G63" s="82"/>
      <c r="H63" s="82"/>
      <c r="I63" s="56"/>
      <c r="J63" s="83">
        <v>646363</v>
      </c>
      <c r="K63" s="82"/>
      <c r="L63" s="82"/>
      <c r="M63" s="56"/>
      <c r="N63" s="23">
        <v>1.252</v>
      </c>
      <c r="O63" s="23">
        <v>44</v>
      </c>
      <c r="P63" s="23">
        <v>124</v>
      </c>
      <c r="Q63" s="23">
        <v>3.77</v>
      </c>
      <c r="R63" s="23">
        <v>49.15</v>
      </c>
      <c r="S63" s="52" t="s">
        <v>307</v>
      </c>
    </row>
    <row r="64" spans="1:20">
      <c r="A64" s="23" t="s">
        <v>309</v>
      </c>
      <c r="B64" s="81" t="s">
        <v>304</v>
      </c>
      <c r="C64" s="82"/>
      <c r="D64" s="56"/>
      <c r="E64" s="22">
        <v>17</v>
      </c>
      <c r="F64" s="83">
        <v>1244019</v>
      </c>
      <c r="G64" s="82"/>
      <c r="H64" s="82"/>
      <c r="I64" s="56"/>
      <c r="J64" s="83">
        <v>1157218</v>
      </c>
      <c r="K64" s="82"/>
      <c r="L64" s="82"/>
      <c r="M64" s="56"/>
      <c r="N64" s="23">
        <v>0.93</v>
      </c>
      <c r="O64" s="23">
        <v>48</v>
      </c>
      <c r="P64" s="23">
        <v>297</v>
      </c>
      <c r="Q64" s="23">
        <v>5</v>
      </c>
      <c r="R64" s="23">
        <v>55.81</v>
      </c>
      <c r="S64" s="52" t="s">
        <v>302</v>
      </c>
    </row>
    <row r="65" spans="1:19">
      <c r="A65" s="23" t="s">
        <v>300</v>
      </c>
      <c r="B65" s="81" t="s">
        <v>304</v>
      </c>
      <c r="C65" s="82"/>
      <c r="D65" s="56"/>
      <c r="E65" s="22">
        <v>92</v>
      </c>
      <c r="F65" s="83">
        <v>247302</v>
      </c>
      <c r="G65" s="82"/>
      <c r="H65" s="82"/>
      <c r="I65" s="56"/>
      <c r="J65" s="83">
        <v>214953</v>
      </c>
      <c r="K65" s="82"/>
      <c r="L65" s="82"/>
      <c r="M65" s="56"/>
      <c r="N65" s="23">
        <v>0.86899999999999999</v>
      </c>
      <c r="O65" s="23">
        <v>29</v>
      </c>
      <c r="P65" s="23">
        <v>47</v>
      </c>
      <c r="Q65" s="23">
        <v>2.99</v>
      </c>
      <c r="R65" s="23">
        <v>31.54</v>
      </c>
      <c r="S65" s="52" t="s">
        <v>302</v>
      </c>
    </row>
    <row r="66" spans="1:19">
      <c r="A66" s="23" t="s">
        <v>303</v>
      </c>
      <c r="B66" s="81" t="s">
        <v>301</v>
      </c>
      <c r="C66" s="82"/>
      <c r="D66" s="56"/>
      <c r="E66" s="22">
        <v>44</v>
      </c>
      <c r="F66" s="83">
        <v>36514</v>
      </c>
      <c r="G66" s="82"/>
      <c r="H66" s="82"/>
      <c r="I66" s="56"/>
      <c r="J66" s="83">
        <v>37267</v>
      </c>
      <c r="K66" s="82"/>
      <c r="L66" s="82"/>
      <c r="M66" s="56"/>
      <c r="N66" s="23">
        <v>1.0209999999999999</v>
      </c>
      <c r="O66" s="23">
        <v>51</v>
      </c>
      <c r="P66" s="23">
        <v>80</v>
      </c>
      <c r="Q66" s="23">
        <v>2.72</v>
      </c>
      <c r="R66" s="23">
        <v>4.9800000000000004</v>
      </c>
      <c r="S66" s="52" t="s">
        <v>302</v>
      </c>
    </row>
    <row r="67" spans="1:19">
      <c r="A67" s="23" t="s">
        <v>306</v>
      </c>
      <c r="B67" s="81" t="s">
        <v>301</v>
      </c>
      <c r="C67" s="82"/>
      <c r="D67" s="56"/>
      <c r="E67" s="22">
        <v>66</v>
      </c>
      <c r="F67" s="83">
        <v>483574</v>
      </c>
      <c r="G67" s="82"/>
      <c r="H67" s="82"/>
      <c r="I67" s="56"/>
      <c r="J67" s="83">
        <v>373697</v>
      </c>
      <c r="K67" s="82"/>
      <c r="L67" s="82"/>
      <c r="M67" s="56"/>
      <c r="N67" s="23">
        <v>0.77300000000000002</v>
      </c>
      <c r="O67" s="23">
        <v>52</v>
      </c>
      <c r="P67" s="23">
        <v>69</v>
      </c>
      <c r="Q67" s="23">
        <v>2.74</v>
      </c>
      <c r="R67" s="23">
        <v>56.2</v>
      </c>
      <c r="S67" s="52" t="s">
        <v>302</v>
      </c>
    </row>
    <row r="68" spans="1:19">
      <c r="A68" s="23" t="s">
        <v>311</v>
      </c>
      <c r="B68" s="81" t="s">
        <v>304</v>
      </c>
      <c r="C68" s="82"/>
      <c r="D68" s="56"/>
      <c r="E68" s="22">
        <v>101</v>
      </c>
      <c r="F68" s="83">
        <v>93503</v>
      </c>
      <c r="G68" s="82"/>
      <c r="H68" s="82"/>
      <c r="I68" s="56"/>
      <c r="J68" s="83">
        <v>111829</v>
      </c>
      <c r="K68" s="82"/>
      <c r="L68" s="82"/>
      <c r="M68" s="56"/>
      <c r="N68" s="23">
        <v>1.196</v>
      </c>
      <c r="O68" s="23">
        <v>32</v>
      </c>
      <c r="P68" s="23">
        <v>54</v>
      </c>
      <c r="Q68" s="23">
        <v>2.99</v>
      </c>
      <c r="R68" s="23">
        <v>51.97</v>
      </c>
      <c r="S68" s="52" t="s">
        <v>302</v>
      </c>
    </row>
    <row r="69" spans="1:19">
      <c r="A69" s="23" t="s">
        <v>300</v>
      </c>
      <c r="B69" s="81" t="s">
        <v>301</v>
      </c>
      <c r="C69" s="82"/>
      <c r="D69" s="56"/>
      <c r="E69" s="22">
        <v>8</v>
      </c>
      <c r="F69" s="83">
        <v>443135</v>
      </c>
      <c r="G69" s="82"/>
      <c r="H69" s="82"/>
      <c r="I69" s="56"/>
      <c r="J69" s="83">
        <v>501881</v>
      </c>
      <c r="K69" s="82"/>
      <c r="L69" s="82"/>
      <c r="M69" s="56"/>
      <c r="N69" s="23">
        <v>1.133</v>
      </c>
      <c r="O69" s="23">
        <v>69</v>
      </c>
      <c r="P69" s="23">
        <v>136</v>
      </c>
      <c r="Q69" s="23">
        <v>3.25</v>
      </c>
      <c r="R69" s="23">
        <v>12.22</v>
      </c>
      <c r="S69" s="52" t="s">
        <v>302</v>
      </c>
    </row>
    <row r="70" spans="1:19">
      <c r="A70" s="23" t="s">
        <v>311</v>
      </c>
      <c r="B70" s="81" t="s">
        <v>304</v>
      </c>
      <c r="C70" s="82"/>
      <c r="D70" s="56"/>
      <c r="E70" s="22">
        <v>36</v>
      </c>
      <c r="F70" s="83">
        <v>111609</v>
      </c>
      <c r="G70" s="82"/>
      <c r="H70" s="82"/>
      <c r="I70" s="56"/>
      <c r="J70" s="83">
        <v>83689</v>
      </c>
      <c r="K70" s="82"/>
      <c r="L70" s="82"/>
      <c r="M70" s="56"/>
      <c r="N70" s="23">
        <v>0.75</v>
      </c>
      <c r="O70" s="23">
        <v>67</v>
      </c>
      <c r="P70" s="23">
        <v>362</v>
      </c>
      <c r="Q70" s="23">
        <v>3.98</v>
      </c>
      <c r="R70" s="23">
        <v>39.479999999999997</v>
      </c>
      <c r="S70" s="52" t="s">
        <v>302</v>
      </c>
    </row>
    <row r="71" spans="1:19">
      <c r="A71" s="23" t="s">
        <v>305</v>
      </c>
      <c r="B71" s="81" t="s">
        <v>301</v>
      </c>
      <c r="C71" s="82"/>
      <c r="D71" s="56"/>
      <c r="E71" s="22">
        <v>119</v>
      </c>
      <c r="F71" s="83">
        <v>1047741</v>
      </c>
      <c r="G71" s="82"/>
      <c r="H71" s="82"/>
      <c r="I71" s="56"/>
      <c r="J71" s="83">
        <v>715658</v>
      </c>
      <c r="K71" s="82"/>
      <c r="L71" s="82"/>
      <c r="M71" s="56"/>
      <c r="N71" s="23">
        <v>0.68300000000000005</v>
      </c>
      <c r="O71" s="23">
        <v>22</v>
      </c>
      <c r="P71" s="23">
        <v>27</v>
      </c>
      <c r="Q71" s="23">
        <v>3.39</v>
      </c>
      <c r="R71" s="23">
        <v>54.24</v>
      </c>
      <c r="S71" s="52" t="s">
        <v>307</v>
      </c>
    </row>
    <row r="72" spans="1:19">
      <c r="A72" s="23" t="s">
        <v>305</v>
      </c>
      <c r="B72" s="81" t="s">
        <v>308</v>
      </c>
      <c r="C72" s="82"/>
      <c r="D72" s="56"/>
      <c r="E72" s="22">
        <v>34</v>
      </c>
      <c r="F72" s="83">
        <v>1322235</v>
      </c>
      <c r="G72" s="82"/>
      <c r="H72" s="82"/>
      <c r="I72" s="56"/>
      <c r="J72" s="83">
        <v>1028962</v>
      </c>
      <c r="K72" s="82"/>
      <c r="L72" s="82"/>
      <c r="M72" s="56"/>
      <c r="N72" s="23">
        <v>0.77800000000000002</v>
      </c>
      <c r="O72" s="23">
        <v>46</v>
      </c>
      <c r="P72" s="23">
        <v>330</v>
      </c>
      <c r="Q72" s="23">
        <v>4.05</v>
      </c>
      <c r="R72" s="23">
        <v>18.510000000000002</v>
      </c>
      <c r="S72" s="52" t="s">
        <v>302</v>
      </c>
    </row>
    <row r="73" spans="1:19">
      <c r="A73" s="23" t="s">
        <v>309</v>
      </c>
      <c r="B73" s="81" t="s">
        <v>301</v>
      </c>
      <c r="C73" s="82"/>
      <c r="D73" s="56"/>
      <c r="E73" s="22">
        <v>96</v>
      </c>
      <c r="F73" s="83">
        <v>545433</v>
      </c>
      <c r="G73" s="82"/>
      <c r="H73" s="82"/>
      <c r="I73" s="56"/>
      <c r="J73" s="83">
        <v>324932</v>
      </c>
      <c r="K73" s="82"/>
      <c r="L73" s="82"/>
      <c r="M73" s="56"/>
      <c r="N73" s="23">
        <v>0.59599999999999997</v>
      </c>
      <c r="O73" s="23">
        <v>9</v>
      </c>
      <c r="P73" s="23">
        <v>64</v>
      </c>
      <c r="Q73" s="23">
        <v>3.66</v>
      </c>
      <c r="R73" s="23">
        <v>32.340000000000003</v>
      </c>
      <c r="S73" s="52" t="s">
        <v>302</v>
      </c>
    </row>
    <row r="74" spans="1:19">
      <c r="A74" s="23" t="s">
        <v>309</v>
      </c>
      <c r="B74" s="81" t="s">
        <v>301</v>
      </c>
      <c r="C74" s="82"/>
      <c r="D74" s="56"/>
      <c r="E74" s="22">
        <v>109</v>
      </c>
      <c r="F74" s="83">
        <v>327158</v>
      </c>
      <c r="G74" s="82"/>
      <c r="H74" s="82"/>
      <c r="I74" s="56"/>
      <c r="J74" s="83">
        <v>197870</v>
      </c>
      <c r="K74" s="82"/>
      <c r="L74" s="82"/>
      <c r="M74" s="56"/>
      <c r="N74" s="23">
        <v>0.60499999999999998</v>
      </c>
      <c r="O74" s="23">
        <v>57</v>
      </c>
      <c r="P74" s="23">
        <v>72</v>
      </c>
      <c r="Q74" s="23">
        <v>2.9</v>
      </c>
      <c r="R74" s="23">
        <v>36.08</v>
      </c>
      <c r="S74" s="52" t="s">
        <v>307</v>
      </c>
    </row>
    <row r="75" spans="1:19">
      <c r="A75" s="23" t="s">
        <v>311</v>
      </c>
      <c r="B75" s="81" t="s">
        <v>310</v>
      </c>
      <c r="C75" s="82"/>
      <c r="D75" s="56"/>
      <c r="E75" s="22">
        <v>120</v>
      </c>
      <c r="F75" s="83">
        <v>43762</v>
      </c>
      <c r="G75" s="82"/>
      <c r="H75" s="82"/>
      <c r="I75" s="56"/>
      <c r="J75" s="83">
        <v>31220</v>
      </c>
      <c r="K75" s="82"/>
      <c r="L75" s="82"/>
      <c r="M75" s="56"/>
      <c r="N75" s="23">
        <v>0.71299999999999997</v>
      </c>
      <c r="O75" s="23">
        <v>42</v>
      </c>
      <c r="P75" s="23">
        <v>30</v>
      </c>
      <c r="Q75" s="23">
        <v>2.69</v>
      </c>
      <c r="R75" s="23">
        <v>8.7200000000000006</v>
      </c>
      <c r="S75" s="52" t="s">
        <v>307</v>
      </c>
    </row>
    <row r="76" spans="1:19">
      <c r="A76" s="23" t="s">
        <v>311</v>
      </c>
      <c r="B76" s="81" t="s">
        <v>310</v>
      </c>
      <c r="C76" s="82"/>
      <c r="D76" s="56"/>
      <c r="E76" s="22">
        <v>119</v>
      </c>
      <c r="F76" s="83">
        <v>17922</v>
      </c>
      <c r="G76" s="82"/>
      <c r="H76" s="82"/>
      <c r="I76" s="56"/>
      <c r="J76" s="83">
        <v>9990</v>
      </c>
      <c r="K76" s="82"/>
      <c r="L76" s="82"/>
      <c r="M76" s="56"/>
      <c r="N76" s="23">
        <v>0.55700000000000005</v>
      </c>
      <c r="O76" s="23">
        <v>16</v>
      </c>
      <c r="P76" s="23">
        <v>68</v>
      </c>
      <c r="Q76" s="23">
        <v>2.83</v>
      </c>
      <c r="R76" s="23">
        <v>16.649999999999999</v>
      </c>
      <c r="S76" s="52" t="s">
        <v>307</v>
      </c>
    </row>
    <row r="77" spans="1:19">
      <c r="A77" s="23" t="s">
        <v>305</v>
      </c>
      <c r="B77" s="81" t="s">
        <v>304</v>
      </c>
      <c r="C77" s="82"/>
      <c r="D77" s="56"/>
      <c r="E77" s="22">
        <v>48</v>
      </c>
      <c r="F77" s="83">
        <v>1342695</v>
      </c>
      <c r="G77" s="82"/>
      <c r="H77" s="82"/>
      <c r="I77" s="56"/>
      <c r="J77" s="83">
        <v>907926</v>
      </c>
      <c r="K77" s="82"/>
      <c r="L77" s="82"/>
      <c r="M77" s="56"/>
      <c r="N77" s="23">
        <v>0.67600000000000005</v>
      </c>
      <c r="O77" s="23">
        <v>35</v>
      </c>
      <c r="P77" s="23">
        <v>235</v>
      </c>
      <c r="Q77" s="23">
        <v>4.24</v>
      </c>
      <c r="R77" s="23">
        <v>59.25</v>
      </c>
      <c r="S77" s="52" t="s">
        <v>307</v>
      </c>
    </row>
    <row r="78" spans="1:19">
      <c r="A78" s="23" t="s">
        <v>305</v>
      </c>
      <c r="B78" s="81" t="s">
        <v>310</v>
      </c>
      <c r="C78" s="82"/>
      <c r="D78" s="56"/>
      <c r="E78" s="22">
        <v>120</v>
      </c>
      <c r="F78" s="83">
        <v>1723287</v>
      </c>
      <c r="G78" s="82"/>
      <c r="H78" s="82"/>
      <c r="I78" s="56"/>
      <c r="J78" s="83">
        <v>1090615</v>
      </c>
      <c r="K78" s="82"/>
      <c r="L78" s="82"/>
      <c r="M78" s="56"/>
      <c r="N78" s="23">
        <v>0.63300000000000001</v>
      </c>
      <c r="O78" s="23">
        <v>38</v>
      </c>
      <c r="P78" s="23">
        <v>364</v>
      </c>
      <c r="Q78" s="23">
        <v>4.05</v>
      </c>
      <c r="R78" s="23">
        <v>17.62</v>
      </c>
      <c r="S78" s="52" t="s">
        <v>302</v>
      </c>
    </row>
    <row r="79" spans="1:19">
      <c r="A79" s="23" t="s">
        <v>306</v>
      </c>
      <c r="B79" s="81" t="s">
        <v>304</v>
      </c>
      <c r="C79" s="82"/>
      <c r="D79" s="56"/>
      <c r="E79" s="22">
        <v>88</v>
      </c>
      <c r="F79" s="83">
        <v>444797</v>
      </c>
      <c r="G79" s="82"/>
      <c r="H79" s="82"/>
      <c r="I79" s="56"/>
      <c r="J79" s="83">
        <v>424481</v>
      </c>
      <c r="K79" s="82"/>
      <c r="L79" s="82"/>
      <c r="M79" s="56"/>
      <c r="N79" s="23">
        <v>0.95399999999999996</v>
      </c>
      <c r="O79" s="23">
        <v>26</v>
      </c>
      <c r="P79" s="23">
        <v>6</v>
      </c>
      <c r="Q79" s="23">
        <v>2.34</v>
      </c>
      <c r="R79" s="23">
        <v>25.99</v>
      </c>
      <c r="S79" s="52" t="s">
        <v>302</v>
      </c>
    </row>
    <row r="80" spans="1:19">
      <c r="A80" s="23" t="s">
        <v>305</v>
      </c>
      <c r="B80" s="81" t="s">
        <v>310</v>
      </c>
      <c r="C80" s="82"/>
      <c r="D80" s="56"/>
      <c r="E80" s="22">
        <v>99</v>
      </c>
      <c r="F80" s="83">
        <v>591858</v>
      </c>
      <c r="G80" s="82"/>
      <c r="H80" s="82"/>
      <c r="I80" s="56"/>
      <c r="J80" s="83">
        <v>627186</v>
      </c>
      <c r="K80" s="82"/>
      <c r="L80" s="82"/>
      <c r="M80" s="56"/>
      <c r="N80" s="23">
        <v>1.06</v>
      </c>
      <c r="O80" s="23">
        <v>29</v>
      </c>
      <c r="P80" s="23">
        <v>54</v>
      </c>
      <c r="Q80" s="23">
        <v>3.17</v>
      </c>
      <c r="R80" s="23">
        <v>7.6</v>
      </c>
      <c r="S80" s="52" t="s">
        <v>302</v>
      </c>
    </row>
    <row r="81" spans="1:19">
      <c r="A81" s="23" t="s">
        <v>300</v>
      </c>
      <c r="B81" s="81" t="s">
        <v>304</v>
      </c>
      <c r="C81" s="82"/>
      <c r="D81" s="56"/>
      <c r="E81" s="22">
        <v>70</v>
      </c>
      <c r="F81" s="83">
        <v>50325</v>
      </c>
      <c r="G81" s="82"/>
      <c r="H81" s="82"/>
      <c r="I81" s="56"/>
      <c r="J81" s="83">
        <v>61279</v>
      </c>
      <c r="K81" s="82"/>
      <c r="L81" s="82"/>
      <c r="M81" s="56"/>
      <c r="N81" s="23">
        <v>1.218</v>
      </c>
      <c r="O81" s="23">
        <v>65</v>
      </c>
      <c r="P81" s="23">
        <v>18</v>
      </c>
      <c r="Q81" s="23">
        <v>2.82</v>
      </c>
      <c r="R81" s="23">
        <v>3.47</v>
      </c>
      <c r="S81" s="52" t="s">
        <v>302</v>
      </c>
    </row>
    <row r="82" spans="1:19">
      <c r="A82" s="23" t="s">
        <v>305</v>
      </c>
      <c r="B82" s="81" t="s">
        <v>310</v>
      </c>
      <c r="C82" s="82"/>
      <c r="D82" s="56"/>
      <c r="E82" s="22">
        <v>27</v>
      </c>
      <c r="F82" s="83">
        <v>2350456</v>
      </c>
      <c r="G82" s="82"/>
      <c r="H82" s="82"/>
      <c r="I82" s="56"/>
      <c r="J82" s="83">
        <v>1761957</v>
      </c>
      <c r="K82" s="82"/>
      <c r="L82" s="82"/>
      <c r="M82" s="56"/>
      <c r="N82" s="23">
        <v>0.75</v>
      </c>
      <c r="O82" s="23">
        <v>76</v>
      </c>
      <c r="P82" s="23">
        <v>289</v>
      </c>
      <c r="Q82" s="23">
        <v>4.97</v>
      </c>
      <c r="R82" s="23">
        <v>45.22</v>
      </c>
      <c r="S82" s="52" t="s">
        <v>302</v>
      </c>
    </row>
    <row r="83" spans="1:19">
      <c r="A83" s="23" t="s">
        <v>303</v>
      </c>
      <c r="B83" s="81" t="s">
        <v>304</v>
      </c>
      <c r="C83" s="82"/>
      <c r="D83" s="56"/>
      <c r="E83" s="22">
        <v>103</v>
      </c>
      <c r="F83" s="83">
        <v>82078</v>
      </c>
      <c r="G83" s="82"/>
      <c r="H83" s="82"/>
      <c r="I83" s="56"/>
      <c r="J83" s="83">
        <v>103018</v>
      </c>
      <c r="K83" s="82"/>
      <c r="L83" s="82"/>
      <c r="M83" s="56"/>
      <c r="N83" s="23">
        <v>1.2549999999999999</v>
      </c>
      <c r="O83" s="23">
        <v>45</v>
      </c>
      <c r="P83" s="23">
        <v>42</v>
      </c>
      <c r="Q83" s="23">
        <v>3.37</v>
      </c>
      <c r="R83" s="23">
        <v>25.29</v>
      </c>
      <c r="S83" s="52" t="s">
        <v>302</v>
      </c>
    </row>
    <row r="84" spans="1:19">
      <c r="A84" s="23" t="s">
        <v>300</v>
      </c>
      <c r="B84" s="81" t="s">
        <v>304</v>
      </c>
      <c r="C84" s="82"/>
      <c r="D84" s="56"/>
      <c r="E84" s="22">
        <v>35</v>
      </c>
      <c r="F84" s="83">
        <v>161729</v>
      </c>
      <c r="G84" s="82"/>
      <c r="H84" s="82"/>
      <c r="I84" s="56"/>
      <c r="J84" s="83">
        <v>190823</v>
      </c>
      <c r="K84" s="82"/>
      <c r="L84" s="82"/>
      <c r="M84" s="56"/>
      <c r="N84" s="23">
        <v>1.18</v>
      </c>
      <c r="O84" s="23">
        <v>76</v>
      </c>
      <c r="P84" s="23">
        <v>194</v>
      </c>
      <c r="Q84" s="23">
        <v>3.52</v>
      </c>
      <c r="R84" s="23">
        <v>55.19</v>
      </c>
      <c r="S84" s="52" t="s">
        <v>302</v>
      </c>
    </row>
    <row r="85" spans="1:19">
      <c r="A85" s="23" t="s">
        <v>303</v>
      </c>
      <c r="B85" s="81" t="s">
        <v>304</v>
      </c>
      <c r="C85" s="82"/>
      <c r="D85" s="56"/>
      <c r="E85" s="22">
        <v>4</v>
      </c>
      <c r="F85" s="83">
        <v>116948</v>
      </c>
      <c r="G85" s="82"/>
      <c r="H85" s="82"/>
      <c r="I85" s="56"/>
      <c r="J85" s="83">
        <v>101601</v>
      </c>
      <c r="K85" s="82"/>
      <c r="L85" s="82"/>
      <c r="M85" s="56"/>
      <c r="N85" s="23">
        <v>0.86899999999999999</v>
      </c>
      <c r="O85" s="23">
        <v>83</v>
      </c>
      <c r="P85" s="23">
        <v>8</v>
      </c>
      <c r="Q85" s="23">
        <v>3.4</v>
      </c>
      <c r="R85" s="23">
        <v>17.47</v>
      </c>
      <c r="S85" s="52" t="s">
        <v>302</v>
      </c>
    </row>
    <row r="86" spans="1:19">
      <c r="A86" s="23" t="s">
        <v>311</v>
      </c>
      <c r="B86" s="81" t="s">
        <v>310</v>
      </c>
      <c r="C86" s="82"/>
      <c r="D86" s="56"/>
      <c r="E86" s="22">
        <v>4</v>
      </c>
      <c r="F86" s="83">
        <v>33587</v>
      </c>
      <c r="G86" s="82"/>
      <c r="H86" s="82"/>
      <c r="I86" s="56"/>
      <c r="J86" s="83">
        <v>42038</v>
      </c>
      <c r="K86" s="82"/>
      <c r="L86" s="82"/>
      <c r="M86" s="56"/>
      <c r="N86" s="23">
        <v>1.252</v>
      </c>
      <c r="O86" s="23">
        <v>62</v>
      </c>
      <c r="P86" s="23">
        <v>100</v>
      </c>
      <c r="Q86" s="23">
        <v>2.89</v>
      </c>
      <c r="R86" s="23">
        <v>26.64</v>
      </c>
      <c r="S86" s="52" t="s">
        <v>302</v>
      </c>
    </row>
    <row r="87" spans="1:19">
      <c r="A87" s="23" t="s">
        <v>306</v>
      </c>
      <c r="B87" s="81" t="s">
        <v>308</v>
      </c>
      <c r="C87" s="82"/>
      <c r="D87" s="56"/>
      <c r="E87" s="22">
        <v>78</v>
      </c>
      <c r="F87" s="83">
        <v>556672</v>
      </c>
      <c r="G87" s="82"/>
      <c r="H87" s="82"/>
      <c r="I87" s="56"/>
      <c r="J87" s="83">
        <v>357671</v>
      </c>
      <c r="K87" s="82"/>
      <c r="L87" s="82"/>
      <c r="M87" s="56"/>
      <c r="N87" s="23">
        <v>0.64300000000000002</v>
      </c>
      <c r="O87" s="23">
        <v>57</v>
      </c>
      <c r="P87" s="23">
        <v>178</v>
      </c>
      <c r="Q87" s="23">
        <v>3.49</v>
      </c>
      <c r="R87" s="23">
        <v>42.82</v>
      </c>
      <c r="S87" s="52" t="s">
        <v>302</v>
      </c>
    </row>
    <row r="88" spans="1:19">
      <c r="A88" s="23" t="s">
        <v>309</v>
      </c>
      <c r="B88" s="81" t="s">
        <v>304</v>
      </c>
      <c r="C88" s="82"/>
      <c r="D88" s="56"/>
      <c r="E88" s="22">
        <v>47</v>
      </c>
      <c r="F88" s="83">
        <v>766050</v>
      </c>
      <c r="G88" s="82"/>
      <c r="H88" s="82"/>
      <c r="I88" s="56"/>
      <c r="J88" s="83">
        <v>464210</v>
      </c>
      <c r="K88" s="82"/>
      <c r="L88" s="82"/>
      <c r="M88" s="56"/>
      <c r="N88" s="23">
        <v>0.60599999999999998</v>
      </c>
      <c r="O88" s="23">
        <v>42</v>
      </c>
      <c r="P88" s="23">
        <v>15</v>
      </c>
      <c r="Q88" s="23">
        <v>3.15</v>
      </c>
      <c r="R88" s="23">
        <v>18.72</v>
      </c>
      <c r="S88" s="52" t="s">
        <v>302</v>
      </c>
    </row>
    <row r="89" spans="1:19">
      <c r="A89" s="23" t="s">
        <v>311</v>
      </c>
      <c r="B89" s="81" t="s">
        <v>310</v>
      </c>
      <c r="C89" s="82"/>
      <c r="D89" s="56"/>
      <c r="E89" s="22">
        <v>52</v>
      </c>
      <c r="F89" s="83">
        <v>60358</v>
      </c>
      <c r="G89" s="82"/>
      <c r="H89" s="82"/>
      <c r="I89" s="56"/>
      <c r="J89" s="83">
        <v>59967</v>
      </c>
      <c r="K89" s="82"/>
      <c r="L89" s="82"/>
      <c r="M89" s="56"/>
      <c r="N89" s="23">
        <v>0.99399999999999999</v>
      </c>
      <c r="O89" s="23">
        <v>35</v>
      </c>
      <c r="P89" s="23">
        <v>48</v>
      </c>
      <c r="Q89" s="23">
        <v>3.28</v>
      </c>
      <c r="R89" s="23">
        <v>54.27</v>
      </c>
      <c r="S89" s="52" t="s">
        <v>302</v>
      </c>
    </row>
    <row r="90" spans="1:19">
      <c r="A90" s="23" t="s">
        <v>306</v>
      </c>
      <c r="B90" s="81" t="s">
        <v>308</v>
      </c>
      <c r="C90" s="82"/>
      <c r="D90" s="56"/>
      <c r="E90" s="22">
        <v>71</v>
      </c>
      <c r="F90" s="83">
        <v>39899</v>
      </c>
      <c r="G90" s="82"/>
      <c r="H90" s="82"/>
      <c r="I90" s="56"/>
      <c r="J90" s="83">
        <v>31643</v>
      </c>
      <c r="K90" s="82"/>
      <c r="L90" s="82"/>
      <c r="M90" s="56"/>
      <c r="N90" s="23">
        <v>0.79300000000000004</v>
      </c>
      <c r="O90" s="23">
        <v>47</v>
      </c>
      <c r="P90" s="23">
        <v>41</v>
      </c>
      <c r="Q90" s="23">
        <v>2.99</v>
      </c>
      <c r="R90" s="23">
        <v>27.09</v>
      </c>
      <c r="S90" s="52" t="s">
        <v>302</v>
      </c>
    </row>
    <row r="91" spans="1:19">
      <c r="A91" s="23" t="s">
        <v>311</v>
      </c>
      <c r="B91" s="81" t="s">
        <v>304</v>
      </c>
      <c r="C91" s="82"/>
      <c r="D91" s="56"/>
      <c r="E91" s="22">
        <v>85</v>
      </c>
      <c r="F91" s="83">
        <v>26385</v>
      </c>
      <c r="G91" s="82"/>
      <c r="H91" s="82"/>
      <c r="I91" s="56"/>
      <c r="J91" s="83">
        <v>20501</v>
      </c>
      <c r="K91" s="82"/>
      <c r="L91" s="82"/>
      <c r="M91" s="56"/>
      <c r="N91" s="23">
        <v>0.77700000000000002</v>
      </c>
      <c r="O91" s="23">
        <v>61</v>
      </c>
      <c r="P91" s="23">
        <v>79</v>
      </c>
      <c r="Q91" s="23">
        <v>3.04</v>
      </c>
      <c r="R91" s="23">
        <v>49.29</v>
      </c>
      <c r="S91" s="52" t="s">
        <v>302</v>
      </c>
    </row>
    <row r="92" spans="1:19">
      <c r="A92" s="23" t="s">
        <v>300</v>
      </c>
      <c r="B92" s="81" t="s">
        <v>310</v>
      </c>
      <c r="C92" s="82"/>
      <c r="D92" s="56"/>
      <c r="E92" s="22">
        <v>29</v>
      </c>
      <c r="F92" s="83">
        <v>166116</v>
      </c>
      <c r="G92" s="82"/>
      <c r="H92" s="82"/>
      <c r="I92" s="56"/>
      <c r="J92" s="83">
        <v>110946</v>
      </c>
      <c r="K92" s="82"/>
      <c r="L92" s="82"/>
      <c r="M92" s="56"/>
      <c r="N92" s="23">
        <v>0.66800000000000004</v>
      </c>
      <c r="O92" s="23">
        <v>96</v>
      </c>
      <c r="P92" s="23">
        <v>9</v>
      </c>
      <c r="Q92" s="23">
        <v>2.8</v>
      </c>
      <c r="R92" s="23">
        <v>53.28</v>
      </c>
      <c r="S92" s="52" t="s">
        <v>307</v>
      </c>
    </row>
    <row r="93" spans="1:19">
      <c r="A93" s="23" t="s">
        <v>300</v>
      </c>
      <c r="B93" s="81" t="s">
        <v>308</v>
      </c>
      <c r="C93" s="82"/>
      <c r="D93" s="56"/>
      <c r="E93" s="22">
        <v>64</v>
      </c>
      <c r="F93" s="83">
        <v>226329</v>
      </c>
      <c r="G93" s="82"/>
      <c r="H93" s="82"/>
      <c r="I93" s="56"/>
      <c r="J93" s="83">
        <v>168657</v>
      </c>
      <c r="K93" s="82"/>
      <c r="L93" s="82"/>
      <c r="M93" s="56"/>
      <c r="N93" s="23">
        <v>0.745</v>
      </c>
      <c r="O93" s="23">
        <v>55</v>
      </c>
      <c r="P93" s="23">
        <v>0</v>
      </c>
      <c r="Q93" s="23">
        <v>3.27</v>
      </c>
      <c r="R93" s="23">
        <v>51.77</v>
      </c>
      <c r="S93" s="52" t="s">
        <v>307</v>
      </c>
    </row>
    <row r="94" spans="1:19">
      <c r="A94" s="23" t="s">
        <v>311</v>
      </c>
      <c r="B94" s="81" t="s">
        <v>304</v>
      </c>
      <c r="C94" s="82"/>
      <c r="D94" s="56"/>
      <c r="E94" s="22">
        <v>23</v>
      </c>
      <c r="F94" s="83">
        <v>127898</v>
      </c>
      <c r="G94" s="82"/>
      <c r="H94" s="82"/>
      <c r="I94" s="56"/>
      <c r="J94" s="83">
        <v>117875</v>
      </c>
      <c r="K94" s="82"/>
      <c r="L94" s="82"/>
      <c r="M94" s="56"/>
      <c r="N94" s="23">
        <v>0.92200000000000004</v>
      </c>
      <c r="O94" s="23">
        <v>27</v>
      </c>
      <c r="P94" s="23">
        <v>17</v>
      </c>
      <c r="Q94" s="23">
        <v>3.26</v>
      </c>
      <c r="R94" s="23">
        <v>40.39</v>
      </c>
      <c r="S94" s="52" t="s">
        <v>307</v>
      </c>
    </row>
    <row r="95" spans="1:19">
      <c r="A95" s="23" t="s">
        <v>309</v>
      </c>
      <c r="B95" s="81" t="s">
        <v>310</v>
      </c>
      <c r="C95" s="82"/>
      <c r="D95" s="56"/>
      <c r="E95" s="22">
        <v>97</v>
      </c>
      <c r="F95" s="83">
        <v>561388</v>
      </c>
      <c r="G95" s="82"/>
      <c r="H95" s="82"/>
      <c r="I95" s="56"/>
      <c r="J95" s="83">
        <v>583911</v>
      </c>
      <c r="K95" s="82"/>
      <c r="L95" s="82"/>
      <c r="M95" s="56"/>
      <c r="N95" s="23">
        <v>1.04</v>
      </c>
      <c r="O95" s="23">
        <v>20</v>
      </c>
      <c r="P95" s="23">
        <v>64</v>
      </c>
      <c r="Q95" s="23">
        <v>3.07</v>
      </c>
      <c r="R95" s="23">
        <v>54.5</v>
      </c>
      <c r="S95" s="52" t="s">
        <v>302</v>
      </c>
    </row>
    <row r="96" spans="1:19">
      <c r="A96" s="23" t="s">
        <v>303</v>
      </c>
      <c r="B96" s="81" t="s">
        <v>308</v>
      </c>
      <c r="C96" s="82"/>
      <c r="D96" s="56"/>
      <c r="E96" s="22">
        <v>58</v>
      </c>
      <c r="F96" s="83">
        <v>85102</v>
      </c>
      <c r="G96" s="82"/>
      <c r="H96" s="82"/>
      <c r="I96" s="56"/>
      <c r="J96" s="83">
        <v>97988</v>
      </c>
      <c r="K96" s="82"/>
      <c r="L96" s="82"/>
      <c r="M96" s="56"/>
      <c r="N96" s="23">
        <v>1.151</v>
      </c>
      <c r="O96" s="23">
        <v>51</v>
      </c>
      <c r="P96" s="23">
        <v>329</v>
      </c>
      <c r="Q96" s="23">
        <v>4.62</v>
      </c>
      <c r="R96" s="23">
        <v>17.2</v>
      </c>
      <c r="S96" s="52" t="s">
        <v>302</v>
      </c>
    </row>
    <row r="97" spans="1:19">
      <c r="A97" s="23" t="s">
        <v>306</v>
      </c>
      <c r="B97" s="81" t="s">
        <v>304</v>
      </c>
      <c r="C97" s="82"/>
      <c r="D97" s="56"/>
      <c r="E97" s="22">
        <v>35</v>
      </c>
      <c r="F97" s="83">
        <v>644125</v>
      </c>
      <c r="G97" s="82"/>
      <c r="H97" s="82"/>
      <c r="I97" s="56"/>
      <c r="J97" s="83">
        <v>519015</v>
      </c>
      <c r="K97" s="82"/>
      <c r="L97" s="82"/>
      <c r="M97" s="56"/>
      <c r="N97" s="23">
        <v>0.80600000000000005</v>
      </c>
      <c r="O97" s="23">
        <v>42</v>
      </c>
      <c r="P97" s="23">
        <v>17</v>
      </c>
      <c r="Q97" s="23">
        <v>2.48</v>
      </c>
      <c r="R97" s="23">
        <v>23.6</v>
      </c>
      <c r="S97" s="52" t="s">
        <v>302</v>
      </c>
    </row>
    <row r="98" spans="1:19">
      <c r="A98" s="23" t="s">
        <v>303</v>
      </c>
      <c r="B98" s="81" t="s">
        <v>301</v>
      </c>
      <c r="C98" s="82"/>
      <c r="D98" s="56"/>
      <c r="E98" s="22">
        <v>54</v>
      </c>
      <c r="F98" s="83">
        <v>210799</v>
      </c>
      <c r="G98" s="82"/>
      <c r="H98" s="82"/>
      <c r="I98" s="56"/>
      <c r="J98" s="83">
        <v>171739</v>
      </c>
      <c r="K98" s="82"/>
      <c r="L98" s="82"/>
      <c r="M98" s="56"/>
      <c r="N98" s="23">
        <v>0.81499999999999995</v>
      </c>
      <c r="O98" s="23">
        <v>41</v>
      </c>
      <c r="P98" s="23">
        <v>280</v>
      </c>
      <c r="Q98" s="23">
        <v>4.84</v>
      </c>
      <c r="R98" s="23">
        <v>35.46</v>
      </c>
      <c r="S98" s="52" t="s">
        <v>302</v>
      </c>
    </row>
    <row r="99" spans="1:19">
      <c r="A99" s="23" t="s">
        <v>309</v>
      </c>
      <c r="B99" s="81" t="s">
        <v>308</v>
      </c>
      <c r="C99" s="82"/>
      <c r="D99" s="56"/>
      <c r="E99" s="22">
        <v>62</v>
      </c>
      <c r="F99" s="83">
        <v>36688</v>
      </c>
      <c r="G99" s="82"/>
      <c r="H99" s="82"/>
      <c r="I99" s="56"/>
      <c r="J99" s="83">
        <v>47848</v>
      </c>
      <c r="K99" s="82"/>
      <c r="L99" s="82"/>
      <c r="M99" s="56"/>
      <c r="N99" s="23">
        <v>1.304</v>
      </c>
      <c r="O99" s="23">
        <v>45</v>
      </c>
      <c r="P99" s="23">
        <v>49</v>
      </c>
      <c r="Q99" s="23">
        <v>3.5</v>
      </c>
      <c r="R99" s="23">
        <v>57.25</v>
      </c>
      <c r="S99" s="52" t="s">
        <v>302</v>
      </c>
    </row>
    <row r="100" spans="1:19">
      <c r="A100" s="23" t="s">
        <v>300</v>
      </c>
      <c r="B100" s="81" t="s">
        <v>304</v>
      </c>
      <c r="C100" s="82"/>
      <c r="D100" s="56"/>
      <c r="E100" s="22">
        <v>63</v>
      </c>
      <c r="F100" s="83">
        <v>197205</v>
      </c>
      <c r="G100" s="82"/>
      <c r="H100" s="82"/>
      <c r="I100" s="56"/>
      <c r="J100" s="83">
        <v>151522</v>
      </c>
      <c r="K100" s="82"/>
      <c r="L100" s="82"/>
      <c r="M100" s="56"/>
      <c r="N100" s="23">
        <v>0.76800000000000002</v>
      </c>
      <c r="O100" s="23">
        <v>28</v>
      </c>
      <c r="P100" s="23">
        <v>51</v>
      </c>
      <c r="Q100" s="23">
        <v>3.35</v>
      </c>
      <c r="R100" s="23">
        <v>50.59</v>
      </c>
      <c r="S100" s="52" t="s">
        <v>307</v>
      </c>
    </row>
    <row r="101" spans="1:19">
      <c r="A101" s="23" t="s">
        <v>309</v>
      </c>
      <c r="B101" s="81" t="s">
        <v>301</v>
      </c>
      <c r="C101" s="82"/>
      <c r="D101" s="56"/>
      <c r="E101" s="22">
        <v>117</v>
      </c>
      <c r="F101" s="83">
        <v>627071</v>
      </c>
      <c r="G101" s="82"/>
      <c r="H101" s="82"/>
      <c r="I101" s="56"/>
      <c r="J101" s="83">
        <v>641816</v>
      </c>
      <c r="K101" s="82"/>
      <c r="L101" s="82"/>
      <c r="M101" s="56"/>
      <c r="N101" s="23">
        <v>1.024</v>
      </c>
      <c r="O101" s="23">
        <v>31</v>
      </c>
      <c r="P101" s="23">
        <v>10</v>
      </c>
      <c r="Q101" s="23">
        <v>3.03</v>
      </c>
      <c r="R101" s="23">
        <v>9.01</v>
      </c>
      <c r="S101" s="52" t="s">
        <v>302</v>
      </c>
    </row>
    <row r="102" spans="1:19">
      <c r="A102" s="23" t="s">
        <v>305</v>
      </c>
      <c r="B102" s="81" t="s">
        <v>310</v>
      </c>
      <c r="C102" s="82"/>
      <c r="D102" s="56"/>
      <c r="E102" s="22">
        <v>49</v>
      </c>
      <c r="F102" s="83">
        <v>1232678</v>
      </c>
      <c r="G102" s="82"/>
      <c r="H102" s="82"/>
      <c r="I102" s="56"/>
      <c r="J102" s="83">
        <v>886700</v>
      </c>
      <c r="K102" s="82"/>
      <c r="L102" s="82"/>
      <c r="M102" s="56"/>
      <c r="N102" s="23">
        <v>0.71899999999999997</v>
      </c>
      <c r="O102" s="23">
        <v>36</v>
      </c>
      <c r="P102" s="23">
        <v>53</v>
      </c>
      <c r="Q102" s="23">
        <v>2.8</v>
      </c>
      <c r="R102" s="23">
        <v>5.83</v>
      </c>
      <c r="S102" s="52" t="s">
        <v>302</v>
      </c>
    </row>
    <row r="103" spans="1:19">
      <c r="A103" s="23" t="s">
        <v>309</v>
      </c>
      <c r="B103" s="81" t="s">
        <v>301</v>
      </c>
      <c r="C103" s="82"/>
      <c r="D103" s="56"/>
      <c r="E103" s="22">
        <v>45</v>
      </c>
      <c r="F103" s="83">
        <v>470576</v>
      </c>
      <c r="G103" s="82"/>
      <c r="H103" s="82"/>
      <c r="I103" s="56"/>
      <c r="J103" s="83">
        <v>503570</v>
      </c>
      <c r="K103" s="82"/>
      <c r="L103" s="82"/>
      <c r="M103" s="56"/>
      <c r="N103" s="23">
        <v>1.07</v>
      </c>
      <c r="O103" s="23">
        <v>72</v>
      </c>
      <c r="P103" s="23">
        <v>101</v>
      </c>
      <c r="Q103" s="23">
        <v>3.67</v>
      </c>
      <c r="R103" s="23">
        <v>57.03</v>
      </c>
      <c r="S103" s="52" t="s">
        <v>302</v>
      </c>
    </row>
    <row r="104" spans="1:19">
      <c r="A104" s="23" t="s">
        <v>305</v>
      </c>
      <c r="B104" s="81" t="s">
        <v>304</v>
      </c>
      <c r="C104" s="82"/>
      <c r="D104" s="56"/>
      <c r="E104" s="22">
        <v>31</v>
      </c>
      <c r="F104" s="83">
        <v>854666</v>
      </c>
      <c r="G104" s="82"/>
      <c r="H104" s="82"/>
      <c r="I104" s="56"/>
      <c r="J104" s="83">
        <v>793855</v>
      </c>
      <c r="K104" s="82"/>
      <c r="L104" s="82"/>
      <c r="M104" s="56"/>
      <c r="N104" s="23">
        <v>0.92900000000000005</v>
      </c>
      <c r="O104" s="23">
        <v>82</v>
      </c>
      <c r="P104" s="23">
        <v>32</v>
      </c>
      <c r="Q104" s="23">
        <v>3.3</v>
      </c>
      <c r="R104" s="23">
        <v>10.9</v>
      </c>
      <c r="S104" s="52" t="s">
        <v>302</v>
      </c>
    </row>
    <row r="105" spans="1:19">
      <c r="A105" s="23" t="s">
        <v>300</v>
      </c>
      <c r="B105" s="81" t="s">
        <v>301</v>
      </c>
      <c r="C105" s="82"/>
      <c r="D105" s="56"/>
      <c r="E105" s="22">
        <v>100</v>
      </c>
      <c r="F105" s="83">
        <v>151290</v>
      </c>
      <c r="G105" s="82"/>
      <c r="H105" s="82"/>
      <c r="I105" s="56"/>
      <c r="J105" s="83">
        <v>199971</v>
      </c>
      <c r="K105" s="82"/>
      <c r="L105" s="82"/>
      <c r="M105" s="56"/>
      <c r="N105" s="23">
        <v>1.3220000000000001</v>
      </c>
      <c r="O105" s="23">
        <v>53</v>
      </c>
      <c r="P105" s="23">
        <v>3</v>
      </c>
      <c r="Q105" s="23">
        <v>3.33</v>
      </c>
      <c r="R105" s="23">
        <v>34.97</v>
      </c>
      <c r="S105" s="52" t="s">
        <v>307</v>
      </c>
    </row>
    <row r="106" spans="1:19">
      <c r="A106" s="23" t="s">
        <v>311</v>
      </c>
      <c r="B106" s="81" t="s">
        <v>308</v>
      </c>
      <c r="C106" s="82"/>
      <c r="D106" s="56"/>
      <c r="E106" s="22">
        <v>92</v>
      </c>
      <c r="F106" s="83">
        <v>30949</v>
      </c>
      <c r="G106" s="82"/>
      <c r="H106" s="82"/>
      <c r="I106" s="56"/>
      <c r="J106" s="83">
        <v>18903</v>
      </c>
      <c r="K106" s="82"/>
      <c r="L106" s="82"/>
      <c r="M106" s="56"/>
      <c r="N106" s="23">
        <v>0.61099999999999999</v>
      </c>
      <c r="O106" s="23">
        <v>25</v>
      </c>
      <c r="P106" s="23">
        <v>38</v>
      </c>
      <c r="Q106" s="23">
        <v>3.43</v>
      </c>
      <c r="R106" s="23">
        <v>36.42</v>
      </c>
      <c r="S106" s="52" t="s">
        <v>307</v>
      </c>
    </row>
    <row r="107" spans="1:19">
      <c r="A107" s="23" t="s">
        <v>309</v>
      </c>
      <c r="B107" s="81" t="s">
        <v>301</v>
      </c>
      <c r="C107" s="82"/>
      <c r="D107" s="56"/>
      <c r="E107" s="22">
        <v>45</v>
      </c>
      <c r="F107" s="83">
        <v>1044806</v>
      </c>
      <c r="G107" s="82"/>
      <c r="H107" s="82"/>
      <c r="I107" s="56"/>
      <c r="J107" s="83">
        <v>932700</v>
      </c>
      <c r="K107" s="82"/>
      <c r="L107" s="82"/>
      <c r="M107" s="56"/>
      <c r="N107" s="23">
        <v>0.89300000000000002</v>
      </c>
      <c r="O107" s="23">
        <v>30</v>
      </c>
      <c r="P107" s="23">
        <v>64</v>
      </c>
      <c r="Q107" s="23">
        <v>3.33</v>
      </c>
      <c r="R107" s="23">
        <v>1.75</v>
      </c>
      <c r="S107" s="52" t="s">
        <v>302</v>
      </c>
    </row>
    <row r="108" spans="1:19">
      <c r="A108" s="23" t="s">
        <v>311</v>
      </c>
      <c r="B108" s="81" t="s">
        <v>301</v>
      </c>
      <c r="C108" s="82"/>
      <c r="D108" s="56"/>
      <c r="E108" s="22">
        <v>56</v>
      </c>
      <c r="F108" s="83">
        <v>94552</v>
      </c>
      <c r="G108" s="82"/>
      <c r="H108" s="82"/>
      <c r="I108" s="56"/>
      <c r="J108" s="83">
        <v>100080</v>
      </c>
      <c r="K108" s="82"/>
      <c r="L108" s="82"/>
      <c r="M108" s="56"/>
      <c r="N108" s="23">
        <v>1.0580000000000001</v>
      </c>
      <c r="O108" s="23">
        <v>57</v>
      </c>
      <c r="P108" s="23">
        <v>66</v>
      </c>
      <c r="Q108" s="23">
        <v>3.73</v>
      </c>
      <c r="R108" s="23">
        <v>16.93</v>
      </c>
      <c r="S108" s="52" t="s">
        <v>302</v>
      </c>
    </row>
    <row r="109" spans="1:19">
      <c r="A109" s="23" t="s">
        <v>309</v>
      </c>
      <c r="B109" s="81" t="s">
        <v>308</v>
      </c>
      <c r="C109" s="82"/>
      <c r="D109" s="56"/>
      <c r="E109" s="22">
        <v>60</v>
      </c>
      <c r="F109" s="83">
        <v>496467</v>
      </c>
      <c r="G109" s="82"/>
      <c r="H109" s="82"/>
      <c r="I109" s="56"/>
      <c r="J109" s="83">
        <v>601016</v>
      </c>
      <c r="K109" s="82"/>
      <c r="L109" s="82"/>
      <c r="M109" s="56"/>
      <c r="N109" s="23">
        <v>1.2110000000000001</v>
      </c>
      <c r="O109" s="23">
        <v>23</v>
      </c>
      <c r="P109" s="23">
        <v>41</v>
      </c>
      <c r="Q109" s="23">
        <v>3.45</v>
      </c>
      <c r="R109" s="23">
        <v>50.01</v>
      </c>
      <c r="S109" s="52" t="s">
        <v>302</v>
      </c>
    </row>
    <row r="110" spans="1:19">
      <c r="A110" s="23" t="s">
        <v>311</v>
      </c>
      <c r="B110" s="81" t="s">
        <v>304</v>
      </c>
      <c r="C110" s="82"/>
      <c r="D110" s="56"/>
      <c r="E110" s="22">
        <v>97</v>
      </c>
      <c r="F110" s="83">
        <v>93277</v>
      </c>
      <c r="G110" s="82"/>
      <c r="H110" s="82"/>
      <c r="I110" s="56"/>
      <c r="J110" s="83">
        <v>93825</v>
      </c>
      <c r="K110" s="82"/>
      <c r="L110" s="82"/>
      <c r="M110" s="56"/>
      <c r="N110" s="23">
        <v>1.006</v>
      </c>
      <c r="O110" s="23">
        <v>25</v>
      </c>
      <c r="P110" s="23">
        <v>41</v>
      </c>
      <c r="Q110" s="23">
        <v>2.65</v>
      </c>
      <c r="R110" s="23">
        <v>13.52</v>
      </c>
      <c r="S110" s="52" t="s">
        <v>302</v>
      </c>
    </row>
    <row r="111" spans="1:19">
      <c r="A111" s="23" t="s">
        <v>306</v>
      </c>
      <c r="B111" s="81" t="s">
        <v>310</v>
      </c>
      <c r="C111" s="82"/>
      <c r="D111" s="56"/>
      <c r="E111" s="22">
        <v>113</v>
      </c>
      <c r="F111" s="83">
        <v>354827</v>
      </c>
      <c r="G111" s="82"/>
      <c r="H111" s="82"/>
      <c r="I111" s="56"/>
      <c r="J111" s="83">
        <v>352922</v>
      </c>
      <c r="K111" s="82"/>
      <c r="L111" s="82"/>
      <c r="M111" s="56"/>
      <c r="N111" s="23">
        <v>0.995</v>
      </c>
      <c r="O111" s="23">
        <v>18</v>
      </c>
      <c r="P111" s="23">
        <v>24</v>
      </c>
      <c r="Q111" s="23">
        <v>2.44</v>
      </c>
      <c r="R111" s="23">
        <v>43.48</v>
      </c>
      <c r="S111" s="52" t="s">
        <v>302</v>
      </c>
    </row>
    <row r="112" spans="1:19">
      <c r="A112" s="23" t="s">
        <v>303</v>
      </c>
      <c r="B112" s="81" t="s">
        <v>308</v>
      </c>
      <c r="C112" s="82"/>
      <c r="D112" s="56"/>
      <c r="E112" s="22">
        <v>83</v>
      </c>
      <c r="F112" s="83">
        <v>136625</v>
      </c>
      <c r="G112" s="82"/>
      <c r="H112" s="82"/>
      <c r="I112" s="56"/>
      <c r="J112" s="83">
        <v>124129</v>
      </c>
      <c r="K112" s="82"/>
      <c r="L112" s="82"/>
      <c r="M112" s="56"/>
      <c r="N112" s="23">
        <v>0.90900000000000003</v>
      </c>
      <c r="O112" s="23">
        <v>48</v>
      </c>
      <c r="P112" s="23">
        <v>31</v>
      </c>
      <c r="Q112" s="23">
        <v>2.74</v>
      </c>
      <c r="R112" s="23">
        <v>35.31</v>
      </c>
      <c r="S112" s="52" t="s">
        <v>302</v>
      </c>
    </row>
    <row r="113" spans="1:19">
      <c r="A113" s="23" t="s">
        <v>309</v>
      </c>
      <c r="B113" s="81" t="s">
        <v>310</v>
      </c>
      <c r="C113" s="82"/>
      <c r="D113" s="56"/>
      <c r="E113" s="22">
        <v>55</v>
      </c>
      <c r="F113" s="83">
        <v>785466</v>
      </c>
      <c r="G113" s="82"/>
      <c r="H113" s="82"/>
      <c r="I113" s="56"/>
      <c r="J113" s="83">
        <v>639866</v>
      </c>
      <c r="K113" s="82"/>
      <c r="L113" s="82"/>
      <c r="M113" s="56"/>
      <c r="N113" s="23">
        <v>0.81499999999999995</v>
      </c>
      <c r="O113" s="23">
        <v>47</v>
      </c>
      <c r="P113" s="23">
        <v>34</v>
      </c>
      <c r="Q113" s="23">
        <v>2.76</v>
      </c>
      <c r="R113" s="23">
        <v>14.6</v>
      </c>
      <c r="S113" s="52" t="s">
        <v>302</v>
      </c>
    </row>
    <row r="114" spans="1:19">
      <c r="A114" s="23" t="s">
        <v>306</v>
      </c>
      <c r="B114" s="81" t="s">
        <v>301</v>
      </c>
      <c r="C114" s="82"/>
      <c r="D114" s="56"/>
      <c r="E114" s="22">
        <v>96</v>
      </c>
      <c r="F114" s="83">
        <v>355898</v>
      </c>
      <c r="G114" s="82"/>
      <c r="H114" s="82"/>
      <c r="I114" s="56"/>
      <c r="J114" s="83">
        <v>250279</v>
      </c>
      <c r="K114" s="82"/>
      <c r="L114" s="82"/>
      <c r="M114" s="56"/>
      <c r="N114" s="23">
        <v>0.70299999999999996</v>
      </c>
      <c r="O114" s="23">
        <v>31</v>
      </c>
      <c r="P114" s="23">
        <v>67</v>
      </c>
      <c r="Q114" s="23">
        <v>3.29</v>
      </c>
      <c r="R114" s="23">
        <v>58.85</v>
      </c>
      <c r="S114" s="52" t="s">
        <v>307</v>
      </c>
    </row>
    <row r="115" spans="1:19">
      <c r="A115" s="23" t="s">
        <v>306</v>
      </c>
      <c r="B115" s="81" t="s">
        <v>304</v>
      </c>
      <c r="C115" s="82"/>
      <c r="D115" s="56"/>
      <c r="E115" s="22">
        <v>47</v>
      </c>
      <c r="F115" s="83">
        <v>362428</v>
      </c>
      <c r="G115" s="82"/>
      <c r="H115" s="82"/>
      <c r="I115" s="56"/>
      <c r="J115" s="83">
        <v>286975</v>
      </c>
      <c r="K115" s="82"/>
      <c r="L115" s="82"/>
      <c r="M115" s="56"/>
      <c r="N115" s="23">
        <v>0.79200000000000004</v>
      </c>
      <c r="O115" s="23">
        <v>36</v>
      </c>
      <c r="P115" s="23">
        <v>16</v>
      </c>
      <c r="Q115" s="23">
        <v>2.62</v>
      </c>
      <c r="R115" s="23">
        <v>58.48</v>
      </c>
      <c r="S115" s="52" t="s">
        <v>307</v>
      </c>
    </row>
    <row r="116" spans="1:19">
      <c r="A116" s="23" t="s">
        <v>300</v>
      </c>
      <c r="B116" s="81" t="s">
        <v>304</v>
      </c>
      <c r="C116" s="82"/>
      <c r="D116" s="56"/>
      <c r="E116" s="22">
        <v>82</v>
      </c>
      <c r="F116" s="83">
        <v>389749</v>
      </c>
      <c r="G116" s="82"/>
      <c r="H116" s="82"/>
      <c r="I116" s="56"/>
      <c r="J116" s="83">
        <v>246348</v>
      </c>
      <c r="K116" s="82"/>
      <c r="L116" s="82"/>
      <c r="M116" s="56"/>
      <c r="N116" s="23">
        <v>0.63200000000000001</v>
      </c>
      <c r="O116" s="23">
        <v>49</v>
      </c>
      <c r="P116" s="23">
        <v>43</v>
      </c>
      <c r="Q116" s="23">
        <v>2.66</v>
      </c>
      <c r="R116" s="23">
        <v>4.03</v>
      </c>
      <c r="S116" s="52" t="s">
        <v>307</v>
      </c>
    </row>
    <row r="117" spans="1:19">
      <c r="A117" s="23" t="s">
        <v>311</v>
      </c>
      <c r="B117" s="81" t="s">
        <v>301</v>
      </c>
      <c r="C117" s="82"/>
      <c r="D117" s="56"/>
      <c r="E117" s="22">
        <v>106</v>
      </c>
      <c r="F117" s="83">
        <v>23614</v>
      </c>
      <c r="G117" s="82"/>
      <c r="H117" s="82"/>
      <c r="I117" s="56"/>
      <c r="J117" s="83">
        <v>20557</v>
      </c>
      <c r="K117" s="82"/>
      <c r="L117" s="82"/>
      <c r="M117" s="56"/>
      <c r="N117" s="23">
        <v>0.871</v>
      </c>
      <c r="O117" s="23">
        <v>30</v>
      </c>
      <c r="P117" s="23">
        <v>80</v>
      </c>
      <c r="Q117" s="23">
        <v>3.47</v>
      </c>
      <c r="R117" s="23">
        <v>9.9499999999999993</v>
      </c>
      <c r="S117" s="52" t="s">
        <v>307</v>
      </c>
    </row>
    <row r="118" spans="1:19">
      <c r="A118" s="23" t="s">
        <v>306</v>
      </c>
      <c r="B118" s="81" t="s">
        <v>301</v>
      </c>
      <c r="C118" s="82"/>
      <c r="D118" s="56"/>
      <c r="E118" s="22">
        <v>32</v>
      </c>
      <c r="F118" s="83">
        <v>302137</v>
      </c>
      <c r="G118" s="82"/>
      <c r="H118" s="82"/>
      <c r="I118" s="56"/>
      <c r="J118" s="83">
        <v>301066</v>
      </c>
      <c r="K118" s="82"/>
      <c r="L118" s="82"/>
      <c r="M118" s="56"/>
      <c r="N118" s="23">
        <v>0.996</v>
      </c>
      <c r="O118" s="23">
        <v>36</v>
      </c>
      <c r="P118" s="23">
        <v>66</v>
      </c>
      <c r="Q118" s="23">
        <v>3.02</v>
      </c>
      <c r="R118" s="23">
        <v>54.6</v>
      </c>
      <c r="S118" s="52" t="s">
        <v>302</v>
      </c>
    </row>
    <row r="119" spans="1:19">
      <c r="A119" s="23" t="s">
        <v>309</v>
      </c>
      <c r="B119" s="81" t="s">
        <v>308</v>
      </c>
      <c r="C119" s="82"/>
      <c r="D119" s="56"/>
      <c r="E119" s="22">
        <v>40</v>
      </c>
      <c r="F119" s="83">
        <v>676351</v>
      </c>
      <c r="G119" s="82"/>
      <c r="H119" s="82"/>
      <c r="I119" s="56"/>
      <c r="J119" s="83">
        <v>708019</v>
      </c>
      <c r="K119" s="82"/>
      <c r="L119" s="82"/>
      <c r="M119" s="56"/>
      <c r="N119" s="23">
        <v>1.0469999999999999</v>
      </c>
      <c r="O119" s="23">
        <v>61</v>
      </c>
      <c r="P119" s="23">
        <v>12</v>
      </c>
      <c r="Q119" s="23">
        <v>3.4</v>
      </c>
      <c r="R119" s="23">
        <v>13.26</v>
      </c>
      <c r="S119" s="52" t="s">
        <v>302</v>
      </c>
    </row>
    <row r="120" spans="1:19">
      <c r="A120" s="23" t="s">
        <v>300</v>
      </c>
      <c r="B120" s="81" t="s">
        <v>301</v>
      </c>
      <c r="C120" s="82"/>
      <c r="D120" s="56"/>
      <c r="E120" s="22">
        <v>21</v>
      </c>
      <c r="F120" s="83">
        <v>266736</v>
      </c>
      <c r="G120" s="82"/>
      <c r="H120" s="82"/>
      <c r="I120" s="56"/>
      <c r="J120" s="83">
        <v>183794</v>
      </c>
      <c r="K120" s="82"/>
      <c r="L120" s="82"/>
      <c r="M120" s="56"/>
      <c r="N120" s="23">
        <v>0.68899999999999995</v>
      </c>
      <c r="O120" s="23">
        <v>58</v>
      </c>
      <c r="P120" s="23">
        <v>76</v>
      </c>
      <c r="Q120" s="23">
        <v>3.19</v>
      </c>
      <c r="R120" s="23">
        <v>2.93</v>
      </c>
      <c r="S120" s="52" t="s">
        <v>302</v>
      </c>
    </row>
    <row r="121" spans="1:19">
      <c r="A121" s="23" t="s">
        <v>306</v>
      </c>
      <c r="B121" s="81" t="s">
        <v>308</v>
      </c>
      <c r="C121" s="82"/>
      <c r="D121" s="56"/>
      <c r="E121" s="22">
        <v>10</v>
      </c>
      <c r="F121" s="83">
        <v>333172</v>
      </c>
      <c r="G121" s="82"/>
      <c r="H121" s="82"/>
      <c r="I121" s="56"/>
      <c r="J121" s="83">
        <v>429501</v>
      </c>
      <c r="K121" s="82"/>
      <c r="L121" s="82"/>
      <c r="M121" s="56"/>
      <c r="N121" s="23">
        <v>1.2889999999999999</v>
      </c>
      <c r="O121" s="23">
        <v>62</v>
      </c>
      <c r="P121" s="23">
        <v>382</v>
      </c>
      <c r="Q121" s="23">
        <v>4.66</v>
      </c>
      <c r="R121" s="23">
        <v>56.09</v>
      </c>
      <c r="S121" s="52" t="s">
        <v>302</v>
      </c>
    </row>
    <row r="122" spans="1:19">
      <c r="A122" s="23" t="s">
        <v>309</v>
      </c>
      <c r="B122" s="81" t="s">
        <v>304</v>
      </c>
      <c r="C122" s="82"/>
      <c r="D122" s="56"/>
      <c r="E122" s="22">
        <v>83</v>
      </c>
      <c r="F122" s="83">
        <v>265652</v>
      </c>
      <c r="G122" s="82"/>
      <c r="H122" s="82"/>
      <c r="I122" s="56"/>
      <c r="J122" s="83">
        <v>339165</v>
      </c>
      <c r="K122" s="82"/>
      <c r="L122" s="82"/>
      <c r="M122" s="56"/>
      <c r="N122" s="23">
        <v>1.2769999999999999</v>
      </c>
      <c r="O122" s="23">
        <v>38</v>
      </c>
      <c r="P122" s="23">
        <v>39</v>
      </c>
      <c r="Q122" s="23">
        <v>3.13</v>
      </c>
      <c r="R122" s="23">
        <v>49.63</v>
      </c>
      <c r="S122" s="52" t="s">
        <v>307</v>
      </c>
    </row>
    <row r="123" spans="1:19">
      <c r="A123" s="23" t="s">
        <v>311</v>
      </c>
      <c r="B123" s="81" t="s">
        <v>301</v>
      </c>
      <c r="C123" s="82"/>
      <c r="D123" s="56"/>
      <c r="E123" s="22">
        <v>60</v>
      </c>
      <c r="F123" s="83">
        <v>80507</v>
      </c>
      <c r="G123" s="82"/>
      <c r="H123" s="82"/>
      <c r="I123" s="56"/>
      <c r="J123" s="83">
        <v>89345</v>
      </c>
      <c r="K123" s="82"/>
      <c r="L123" s="82"/>
      <c r="M123" s="56"/>
      <c r="N123" s="23">
        <v>1.1100000000000001</v>
      </c>
      <c r="O123" s="23">
        <v>38</v>
      </c>
      <c r="P123" s="23">
        <v>337</v>
      </c>
      <c r="Q123" s="23">
        <v>4.51</v>
      </c>
      <c r="R123" s="23">
        <v>26.83</v>
      </c>
      <c r="S123" s="52" t="s">
        <v>302</v>
      </c>
    </row>
    <row r="124" spans="1:19">
      <c r="A124" s="23" t="s">
        <v>311</v>
      </c>
      <c r="B124" s="81" t="s">
        <v>310</v>
      </c>
      <c r="C124" s="82"/>
      <c r="D124" s="56"/>
      <c r="E124" s="22">
        <v>78</v>
      </c>
      <c r="F124" s="83">
        <v>48681</v>
      </c>
      <c r="G124" s="82"/>
      <c r="H124" s="82"/>
      <c r="I124" s="56"/>
      <c r="J124" s="83">
        <v>27781</v>
      </c>
      <c r="K124" s="82"/>
      <c r="L124" s="82"/>
      <c r="M124" s="56"/>
      <c r="N124" s="23">
        <v>0.57099999999999995</v>
      </c>
      <c r="O124" s="23">
        <v>40</v>
      </c>
      <c r="P124" s="23">
        <v>381</v>
      </c>
      <c r="Q124" s="23">
        <v>5</v>
      </c>
      <c r="R124" s="23">
        <v>59.97</v>
      </c>
      <c r="S124" s="52" t="s">
        <v>302</v>
      </c>
    </row>
    <row r="125" spans="1:19">
      <c r="A125" s="23" t="s">
        <v>306</v>
      </c>
      <c r="B125" s="81" t="s">
        <v>301</v>
      </c>
      <c r="C125" s="82"/>
      <c r="D125" s="56"/>
      <c r="E125" s="22">
        <v>98</v>
      </c>
      <c r="F125" s="83">
        <v>337787</v>
      </c>
      <c r="G125" s="82"/>
      <c r="H125" s="82"/>
      <c r="I125" s="56"/>
      <c r="J125" s="83">
        <v>312926</v>
      </c>
      <c r="K125" s="82"/>
      <c r="L125" s="82"/>
      <c r="M125" s="56"/>
      <c r="N125" s="23">
        <v>0.92600000000000005</v>
      </c>
      <c r="O125" s="23">
        <v>53</v>
      </c>
      <c r="P125" s="23">
        <v>35</v>
      </c>
      <c r="Q125" s="23">
        <v>2.61</v>
      </c>
      <c r="R125" s="23">
        <v>35.53</v>
      </c>
      <c r="S125" s="52" t="s">
        <v>302</v>
      </c>
    </row>
    <row r="126" spans="1:19">
      <c r="A126" s="23" t="s">
        <v>311</v>
      </c>
      <c r="B126" s="81" t="s">
        <v>301</v>
      </c>
      <c r="C126" s="82"/>
      <c r="D126" s="56"/>
      <c r="E126" s="22">
        <v>61</v>
      </c>
      <c r="F126" s="83">
        <v>90017</v>
      </c>
      <c r="G126" s="82"/>
      <c r="H126" s="82"/>
      <c r="I126" s="56"/>
      <c r="J126" s="83">
        <v>78915</v>
      </c>
      <c r="K126" s="82"/>
      <c r="L126" s="82"/>
      <c r="M126" s="56"/>
      <c r="N126" s="23">
        <v>0.877</v>
      </c>
      <c r="O126" s="23">
        <v>40</v>
      </c>
      <c r="P126" s="23">
        <v>52</v>
      </c>
      <c r="Q126" s="23">
        <v>3.32</v>
      </c>
      <c r="R126" s="23">
        <v>18</v>
      </c>
      <c r="S126" s="52" t="s">
        <v>307</v>
      </c>
    </row>
    <row r="127" spans="1:19">
      <c r="A127" s="23" t="s">
        <v>309</v>
      </c>
      <c r="B127" s="81" t="s">
        <v>301</v>
      </c>
      <c r="C127" s="82"/>
      <c r="D127" s="56"/>
      <c r="E127" s="22">
        <v>59</v>
      </c>
      <c r="F127" s="83">
        <v>208584</v>
      </c>
      <c r="G127" s="82"/>
      <c r="H127" s="82"/>
      <c r="I127" s="56"/>
      <c r="J127" s="83">
        <v>167203</v>
      </c>
      <c r="K127" s="82"/>
      <c r="L127" s="82"/>
      <c r="M127" s="56"/>
      <c r="N127" s="23">
        <v>0.80200000000000005</v>
      </c>
      <c r="O127" s="23">
        <v>51</v>
      </c>
      <c r="P127" s="23">
        <v>51</v>
      </c>
      <c r="Q127" s="23">
        <v>3.52</v>
      </c>
      <c r="R127" s="23">
        <v>49.67</v>
      </c>
      <c r="S127" s="52" t="s">
        <v>302</v>
      </c>
    </row>
    <row r="128" spans="1:19">
      <c r="A128" s="23" t="s">
        <v>309</v>
      </c>
      <c r="B128" s="81" t="s">
        <v>308</v>
      </c>
      <c r="C128" s="82"/>
      <c r="D128" s="56"/>
      <c r="E128" s="22">
        <v>53</v>
      </c>
      <c r="F128" s="83">
        <v>90397</v>
      </c>
      <c r="G128" s="82"/>
      <c r="H128" s="82"/>
      <c r="I128" s="56"/>
      <c r="J128" s="83">
        <v>63283</v>
      </c>
      <c r="K128" s="82"/>
      <c r="L128" s="82"/>
      <c r="M128" s="56"/>
      <c r="N128" s="23">
        <v>0.7</v>
      </c>
      <c r="O128" s="23">
        <v>30</v>
      </c>
      <c r="P128" s="23">
        <v>6</v>
      </c>
      <c r="Q128" s="23">
        <v>2.48</v>
      </c>
      <c r="R128" s="23">
        <v>33.4</v>
      </c>
      <c r="S128" s="52" t="s">
        <v>307</v>
      </c>
    </row>
    <row r="129" spans="1:19">
      <c r="A129" s="23" t="s">
        <v>311</v>
      </c>
      <c r="B129" s="81" t="s">
        <v>308</v>
      </c>
      <c r="C129" s="82"/>
      <c r="D129" s="56"/>
      <c r="E129" s="22">
        <v>16</v>
      </c>
      <c r="F129" s="83">
        <v>12998</v>
      </c>
      <c r="G129" s="82"/>
      <c r="H129" s="82"/>
      <c r="I129" s="56"/>
      <c r="J129" s="83">
        <v>17268</v>
      </c>
      <c r="K129" s="82"/>
      <c r="L129" s="82"/>
      <c r="M129" s="56"/>
      <c r="N129" s="23">
        <v>1.329</v>
      </c>
      <c r="O129" s="23">
        <v>79</v>
      </c>
      <c r="P129" s="23">
        <v>30</v>
      </c>
      <c r="Q129" s="23">
        <v>3.22</v>
      </c>
      <c r="R129" s="23">
        <v>19.329999999999998</v>
      </c>
      <c r="S129" s="52" t="s">
        <v>302</v>
      </c>
    </row>
    <row r="130" spans="1:19">
      <c r="A130" s="23" t="s">
        <v>311</v>
      </c>
      <c r="B130" s="81" t="s">
        <v>301</v>
      </c>
      <c r="C130" s="82"/>
      <c r="D130" s="56"/>
      <c r="E130" s="22">
        <v>29</v>
      </c>
      <c r="F130" s="83">
        <v>41499</v>
      </c>
      <c r="G130" s="82"/>
      <c r="H130" s="82"/>
      <c r="I130" s="56"/>
      <c r="J130" s="83">
        <v>38144</v>
      </c>
      <c r="K130" s="82"/>
      <c r="L130" s="82"/>
      <c r="M130" s="56"/>
      <c r="N130" s="23">
        <v>0.91900000000000004</v>
      </c>
      <c r="O130" s="23">
        <v>75</v>
      </c>
      <c r="P130" s="23">
        <v>37</v>
      </c>
      <c r="Q130" s="23">
        <v>3.02</v>
      </c>
      <c r="R130" s="23">
        <v>17.13</v>
      </c>
      <c r="S130" s="52" t="s">
        <v>302</v>
      </c>
    </row>
    <row r="131" spans="1:19">
      <c r="A131" s="23" t="s">
        <v>311</v>
      </c>
      <c r="B131" s="81" t="s">
        <v>304</v>
      </c>
      <c r="C131" s="82"/>
      <c r="D131" s="56"/>
      <c r="E131" s="22">
        <v>59</v>
      </c>
      <c r="F131" s="83">
        <v>122384</v>
      </c>
      <c r="G131" s="82"/>
      <c r="H131" s="82"/>
      <c r="I131" s="56"/>
      <c r="J131" s="83">
        <v>81472</v>
      </c>
      <c r="K131" s="82"/>
      <c r="L131" s="82"/>
      <c r="M131" s="56"/>
      <c r="N131" s="23">
        <v>0.66600000000000004</v>
      </c>
      <c r="O131" s="23">
        <v>64</v>
      </c>
      <c r="P131" s="23">
        <v>76</v>
      </c>
      <c r="Q131" s="23">
        <v>3.23</v>
      </c>
      <c r="R131" s="23">
        <v>52.88</v>
      </c>
      <c r="S131" s="52" t="s">
        <v>307</v>
      </c>
    </row>
    <row r="132" spans="1:19">
      <c r="A132" s="23" t="s">
        <v>306</v>
      </c>
      <c r="B132" s="81" t="s">
        <v>308</v>
      </c>
      <c r="C132" s="82"/>
      <c r="D132" s="56"/>
      <c r="E132" s="22">
        <v>44</v>
      </c>
      <c r="F132" s="83">
        <v>611324</v>
      </c>
      <c r="G132" s="82"/>
      <c r="H132" s="82"/>
      <c r="I132" s="56"/>
      <c r="J132" s="83">
        <v>466891</v>
      </c>
      <c r="K132" s="82"/>
      <c r="L132" s="82"/>
      <c r="M132" s="56"/>
      <c r="N132" s="23">
        <v>0.76400000000000001</v>
      </c>
      <c r="O132" s="23">
        <v>74</v>
      </c>
      <c r="P132" s="23">
        <v>377</v>
      </c>
      <c r="Q132" s="23">
        <v>5</v>
      </c>
      <c r="R132" s="23">
        <v>29.89</v>
      </c>
      <c r="S132" s="52" t="s">
        <v>302</v>
      </c>
    </row>
    <row r="133" spans="1:19">
      <c r="A133" s="23" t="s">
        <v>309</v>
      </c>
      <c r="B133" s="81" t="s">
        <v>308</v>
      </c>
      <c r="C133" s="82"/>
      <c r="D133" s="56"/>
      <c r="E133" s="22">
        <v>45</v>
      </c>
      <c r="F133" s="83">
        <v>403196</v>
      </c>
      <c r="G133" s="82"/>
      <c r="H133" s="82"/>
      <c r="I133" s="56"/>
      <c r="J133" s="83">
        <v>399782</v>
      </c>
      <c r="K133" s="82"/>
      <c r="L133" s="82"/>
      <c r="M133" s="56"/>
      <c r="N133" s="23">
        <v>0.99199999999999999</v>
      </c>
      <c r="O133" s="23">
        <v>50</v>
      </c>
      <c r="P133" s="23">
        <v>58</v>
      </c>
      <c r="Q133" s="23">
        <v>3.64</v>
      </c>
      <c r="R133" s="23">
        <v>52.31</v>
      </c>
      <c r="S133" s="52" t="s">
        <v>307</v>
      </c>
    </row>
    <row r="134" spans="1:19">
      <c r="A134" s="23" t="s">
        <v>303</v>
      </c>
      <c r="B134" s="81" t="s">
        <v>308</v>
      </c>
      <c r="C134" s="82"/>
      <c r="D134" s="56"/>
      <c r="E134" s="22">
        <v>30</v>
      </c>
      <c r="F134" s="83">
        <v>136177</v>
      </c>
      <c r="G134" s="82"/>
      <c r="H134" s="82"/>
      <c r="I134" s="56"/>
      <c r="J134" s="83">
        <v>79652</v>
      </c>
      <c r="K134" s="82"/>
      <c r="L134" s="82"/>
      <c r="M134" s="56"/>
      <c r="N134" s="23">
        <v>0.58499999999999996</v>
      </c>
      <c r="O134" s="23">
        <v>54</v>
      </c>
      <c r="P134" s="23">
        <v>278</v>
      </c>
      <c r="Q134" s="23">
        <v>4.93</v>
      </c>
      <c r="R134" s="23">
        <v>47.75</v>
      </c>
      <c r="S134" s="52" t="s">
        <v>302</v>
      </c>
    </row>
    <row r="135" spans="1:19">
      <c r="A135" s="23" t="s">
        <v>303</v>
      </c>
      <c r="B135" s="81" t="s">
        <v>308</v>
      </c>
      <c r="C135" s="82"/>
      <c r="D135" s="56"/>
      <c r="E135" s="22">
        <v>5</v>
      </c>
      <c r="F135" s="83">
        <v>56991</v>
      </c>
      <c r="G135" s="82"/>
      <c r="H135" s="82"/>
      <c r="I135" s="56"/>
      <c r="J135" s="83">
        <v>54245</v>
      </c>
      <c r="K135" s="82"/>
      <c r="L135" s="82"/>
      <c r="M135" s="56"/>
      <c r="N135" s="23">
        <v>0.95199999999999996</v>
      </c>
      <c r="O135" s="23">
        <v>40</v>
      </c>
      <c r="P135" s="23">
        <v>12</v>
      </c>
      <c r="Q135" s="23">
        <v>3.32</v>
      </c>
      <c r="R135" s="23">
        <v>26.98</v>
      </c>
      <c r="S135" s="52" t="s">
        <v>302</v>
      </c>
    </row>
    <row r="136" spans="1:19">
      <c r="A136" s="23" t="s">
        <v>311</v>
      </c>
      <c r="B136" s="81" t="s">
        <v>301</v>
      </c>
      <c r="C136" s="82"/>
      <c r="D136" s="56"/>
      <c r="E136" s="22">
        <v>93</v>
      </c>
      <c r="F136" s="83">
        <v>40515</v>
      </c>
      <c r="G136" s="82"/>
      <c r="H136" s="82"/>
      <c r="I136" s="56"/>
      <c r="J136" s="83">
        <v>35571</v>
      </c>
      <c r="K136" s="82"/>
      <c r="L136" s="82"/>
      <c r="M136" s="56"/>
      <c r="N136" s="23">
        <v>0.878</v>
      </c>
      <c r="O136" s="23">
        <v>28</v>
      </c>
      <c r="P136" s="23">
        <v>33</v>
      </c>
      <c r="Q136" s="23">
        <v>2.79</v>
      </c>
      <c r="R136" s="23">
        <v>41.87</v>
      </c>
      <c r="S136" s="52" t="s">
        <v>307</v>
      </c>
    </row>
    <row r="137" spans="1:19">
      <c r="A137" s="23" t="s">
        <v>306</v>
      </c>
      <c r="B137" s="81" t="s">
        <v>308</v>
      </c>
      <c r="C137" s="82"/>
      <c r="D137" s="56"/>
      <c r="E137" s="22">
        <v>41</v>
      </c>
      <c r="F137" s="83">
        <v>594127</v>
      </c>
      <c r="G137" s="82"/>
      <c r="H137" s="82"/>
      <c r="I137" s="56"/>
      <c r="J137" s="83">
        <v>741414</v>
      </c>
      <c r="K137" s="82"/>
      <c r="L137" s="82"/>
      <c r="M137" s="56"/>
      <c r="N137" s="23">
        <v>1.248</v>
      </c>
      <c r="O137" s="23">
        <v>43</v>
      </c>
      <c r="P137" s="23">
        <v>8</v>
      </c>
      <c r="Q137" s="23">
        <v>2.5299999999999998</v>
      </c>
      <c r="R137" s="23">
        <v>41.38</v>
      </c>
      <c r="S137" s="52" t="s">
        <v>302</v>
      </c>
    </row>
    <row r="138" spans="1:19">
      <c r="A138" s="23" t="s">
        <v>303</v>
      </c>
      <c r="B138" s="81" t="s">
        <v>301</v>
      </c>
      <c r="C138" s="82"/>
      <c r="D138" s="56"/>
      <c r="E138" s="22">
        <v>56</v>
      </c>
      <c r="F138" s="83">
        <v>70186</v>
      </c>
      <c r="G138" s="82"/>
      <c r="H138" s="82"/>
      <c r="I138" s="56"/>
      <c r="J138" s="83">
        <v>81296</v>
      </c>
      <c r="K138" s="82"/>
      <c r="L138" s="82"/>
      <c r="M138" s="56"/>
      <c r="N138" s="23">
        <v>1.1579999999999999</v>
      </c>
      <c r="O138" s="23">
        <v>44</v>
      </c>
      <c r="P138" s="23">
        <v>38</v>
      </c>
      <c r="Q138" s="23">
        <v>3.5</v>
      </c>
      <c r="R138" s="23">
        <v>3.71</v>
      </c>
      <c r="S138" s="52" t="s">
        <v>302</v>
      </c>
    </row>
    <row r="139" spans="1:19">
      <c r="A139" s="23" t="s">
        <v>306</v>
      </c>
      <c r="B139" s="81" t="s">
        <v>310</v>
      </c>
      <c r="C139" s="82"/>
      <c r="D139" s="56"/>
      <c r="E139" s="22">
        <v>48</v>
      </c>
      <c r="F139" s="83">
        <v>648921</v>
      </c>
      <c r="G139" s="82"/>
      <c r="H139" s="82"/>
      <c r="I139" s="56"/>
      <c r="J139" s="83">
        <v>432477</v>
      </c>
      <c r="K139" s="82"/>
      <c r="L139" s="82"/>
      <c r="M139" s="56"/>
      <c r="N139" s="23">
        <v>0.66600000000000004</v>
      </c>
      <c r="O139" s="23">
        <v>42</v>
      </c>
      <c r="P139" s="23">
        <v>72</v>
      </c>
      <c r="Q139" s="23">
        <v>3.42</v>
      </c>
      <c r="R139" s="23">
        <v>11.62</v>
      </c>
      <c r="S139" s="52" t="s">
        <v>302</v>
      </c>
    </row>
    <row r="140" spans="1:19">
      <c r="A140" s="23" t="s">
        <v>309</v>
      </c>
      <c r="B140" s="81" t="s">
        <v>308</v>
      </c>
      <c r="C140" s="82"/>
      <c r="D140" s="56"/>
      <c r="E140" s="22">
        <v>80</v>
      </c>
      <c r="F140" s="83">
        <v>716465</v>
      </c>
      <c r="G140" s="82"/>
      <c r="H140" s="82"/>
      <c r="I140" s="56"/>
      <c r="J140" s="83">
        <v>532092</v>
      </c>
      <c r="K140" s="82"/>
      <c r="L140" s="82"/>
      <c r="M140" s="56"/>
      <c r="N140" s="23">
        <v>0.74299999999999999</v>
      </c>
      <c r="O140" s="23">
        <v>44</v>
      </c>
      <c r="P140" s="23">
        <v>32</v>
      </c>
      <c r="Q140" s="23">
        <v>2.93</v>
      </c>
      <c r="R140" s="23">
        <v>40.340000000000003</v>
      </c>
      <c r="S140" s="52" t="s">
        <v>307</v>
      </c>
    </row>
    <row r="141" spans="1:19">
      <c r="A141" s="23" t="s">
        <v>311</v>
      </c>
      <c r="B141" s="81" t="s">
        <v>310</v>
      </c>
      <c r="C141" s="82"/>
      <c r="D141" s="56"/>
      <c r="E141" s="22">
        <v>87</v>
      </c>
      <c r="F141" s="83">
        <v>92894</v>
      </c>
      <c r="G141" s="82"/>
      <c r="H141" s="82"/>
      <c r="I141" s="56"/>
      <c r="J141" s="83">
        <v>62831</v>
      </c>
      <c r="K141" s="82"/>
      <c r="L141" s="82"/>
      <c r="M141" s="56"/>
      <c r="N141" s="23">
        <v>0.67600000000000005</v>
      </c>
      <c r="O141" s="23">
        <v>30</v>
      </c>
      <c r="P141" s="23">
        <v>44</v>
      </c>
      <c r="Q141" s="23">
        <v>3.63</v>
      </c>
      <c r="R141" s="23">
        <v>18.649999999999999</v>
      </c>
      <c r="S141" s="52" t="s">
        <v>307</v>
      </c>
    </row>
    <row r="142" spans="1:19">
      <c r="A142" s="23" t="s">
        <v>300</v>
      </c>
      <c r="B142" s="81" t="s">
        <v>310</v>
      </c>
      <c r="C142" s="82"/>
      <c r="D142" s="56"/>
      <c r="E142" s="22">
        <v>59</v>
      </c>
      <c r="F142" s="83">
        <v>221733</v>
      </c>
      <c r="G142" s="82"/>
      <c r="H142" s="82"/>
      <c r="I142" s="56"/>
      <c r="J142" s="83">
        <v>157291</v>
      </c>
      <c r="K142" s="82"/>
      <c r="L142" s="82"/>
      <c r="M142" s="56"/>
      <c r="N142" s="23">
        <v>0.70899999999999996</v>
      </c>
      <c r="O142" s="23">
        <v>32</v>
      </c>
      <c r="P142" s="23">
        <v>73</v>
      </c>
      <c r="Q142" s="23">
        <v>3.04</v>
      </c>
      <c r="R142" s="23">
        <v>18.46</v>
      </c>
      <c r="S142" s="52" t="s">
        <v>307</v>
      </c>
    </row>
    <row r="143" spans="1:19">
      <c r="A143" s="23" t="s">
        <v>305</v>
      </c>
      <c r="B143" s="81" t="s">
        <v>308</v>
      </c>
      <c r="C143" s="82"/>
      <c r="D143" s="56"/>
      <c r="E143" s="22">
        <v>36</v>
      </c>
      <c r="F143" s="83">
        <v>291544</v>
      </c>
      <c r="G143" s="82"/>
      <c r="H143" s="82"/>
      <c r="I143" s="56"/>
      <c r="J143" s="83">
        <v>292343</v>
      </c>
      <c r="K143" s="82"/>
      <c r="L143" s="82"/>
      <c r="M143" s="56"/>
      <c r="N143" s="23">
        <v>1.0029999999999999</v>
      </c>
      <c r="O143" s="23">
        <v>64</v>
      </c>
      <c r="P143" s="23">
        <v>6</v>
      </c>
      <c r="Q143" s="23">
        <v>3.33</v>
      </c>
      <c r="R143" s="23">
        <v>44.97</v>
      </c>
      <c r="S143" s="52" t="s">
        <v>302</v>
      </c>
    </row>
    <row r="144" spans="1:19">
      <c r="A144" s="23" t="s">
        <v>306</v>
      </c>
      <c r="B144" s="81" t="s">
        <v>304</v>
      </c>
      <c r="C144" s="82"/>
      <c r="D144" s="56"/>
      <c r="E144" s="22">
        <v>78</v>
      </c>
      <c r="F144" s="83">
        <v>593271</v>
      </c>
      <c r="G144" s="82"/>
      <c r="H144" s="82"/>
      <c r="I144" s="56"/>
      <c r="J144" s="83">
        <v>430242</v>
      </c>
      <c r="K144" s="82"/>
      <c r="L144" s="82"/>
      <c r="M144" s="56"/>
      <c r="N144" s="23">
        <v>0.72499999999999998</v>
      </c>
      <c r="O144" s="23">
        <v>42</v>
      </c>
      <c r="P144" s="23">
        <v>151</v>
      </c>
      <c r="Q144" s="23">
        <v>3.79</v>
      </c>
      <c r="R144" s="23">
        <v>54.3</v>
      </c>
      <c r="S144" s="52" t="s">
        <v>307</v>
      </c>
    </row>
    <row r="145" spans="1:19">
      <c r="A145" s="23" t="s">
        <v>306</v>
      </c>
      <c r="B145" s="81" t="s">
        <v>308</v>
      </c>
      <c r="C145" s="82"/>
      <c r="D145" s="56"/>
      <c r="E145" s="22">
        <v>5</v>
      </c>
      <c r="F145" s="83">
        <v>500762</v>
      </c>
      <c r="G145" s="82"/>
      <c r="H145" s="82"/>
      <c r="I145" s="56"/>
      <c r="J145" s="83">
        <v>568809</v>
      </c>
      <c r="K145" s="82"/>
      <c r="L145" s="82"/>
      <c r="M145" s="56"/>
      <c r="N145" s="23">
        <v>1.1359999999999999</v>
      </c>
      <c r="O145" s="23">
        <v>74</v>
      </c>
      <c r="P145" s="23">
        <v>37</v>
      </c>
      <c r="Q145" s="23">
        <v>2.8</v>
      </c>
      <c r="R145" s="23">
        <v>25.51</v>
      </c>
      <c r="S145" s="52" t="s">
        <v>302</v>
      </c>
    </row>
    <row r="146" spans="1:19">
      <c r="A146" s="23" t="s">
        <v>309</v>
      </c>
      <c r="B146" s="81" t="s">
        <v>310</v>
      </c>
      <c r="C146" s="82"/>
      <c r="D146" s="56"/>
      <c r="E146" s="22">
        <v>68</v>
      </c>
      <c r="F146" s="83">
        <v>692431</v>
      </c>
      <c r="G146" s="82"/>
      <c r="H146" s="82"/>
      <c r="I146" s="56"/>
      <c r="J146" s="83">
        <v>886858</v>
      </c>
      <c r="K146" s="82"/>
      <c r="L146" s="82"/>
      <c r="M146" s="56"/>
      <c r="N146" s="23">
        <v>1.2809999999999999</v>
      </c>
      <c r="O146" s="23">
        <v>47</v>
      </c>
      <c r="P146" s="23">
        <v>327</v>
      </c>
      <c r="Q146" s="23">
        <v>5</v>
      </c>
      <c r="R146" s="23">
        <v>18.41</v>
      </c>
      <c r="S146" s="52" t="s">
        <v>302</v>
      </c>
    </row>
    <row r="147" spans="1:19">
      <c r="A147" s="23" t="s">
        <v>305</v>
      </c>
      <c r="B147" s="81" t="s">
        <v>308</v>
      </c>
      <c r="C147" s="82"/>
      <c r="D147" s="56"/>
      <c r="E147" s="22">
        <v>10</v>
      </c>
      <c r="F147" s="83">
        <v>637870</v>
      </c>
      <c r="G147" s="82"/>
      <c r="H147" s="82"/>
      <c r="I147" s="56"/>
      <c r="J147" s="83">
        <v>735668</v>
      </c>
      <c r="K147" s="82"/>
      <c r="L147" s="82"/>
      <c r="M147" s="56"/>
      <c r="N147" s="23">
        <v>1.153</v>
      </c>
      <c r="O147" s="23">
        <v>51</v>
      </c>
      <c r="P147" s="23">
        <v>50</v>
      </c>
      <c r="Q147" s="23">
        <v>3.64</v>
      </c>
      <c r="R147" s="23">
        <v>48.47</v>
      </c>
      <c r="S147" s="52" t="s">
        <v>302</v>
      </c>
    </row>
    <row r="148" spans="1:19">
      <c r="A148" s="23" t="s">
        <v>311</v>
      </c>
      <c r="B148" s="81" t="s">
        <v>301</v>
      </c>
      <c r="C148" s="82"/>
      <c r="D148" s="56"/>
      <c r="E148" s="22">
        <v>34</v>
      </c>
      <c r="F148" s="83">
        <v>142427</v>
      </c>
      <c r="G148" s="82"/>
      <c r="H148" s="82"/>
      <c r="I148" s="56"/>
      <c r="J148" s="83">
        <v>92416</v>
      </c>
      <c r="K148" s="82"/>
      <c r="L148" s="82"/>
      <c r="M148" s="56"/>
      <c r="N148" s="23">
        <v>0.64900000000000002</v>
      </c>
      <c r="O148" s="23">
        <v>37</v>
      </c>
      <c r="P148" s="23">
        <v>48</v>
      </c>
      <c r="Q148" s="23">
        <v>3.45</v>
      </c>
      <c r="R148" s="23">
        <v>56.48</v>
      </c>
      <c r="S148" s="52" t="s">
        <v>302</v>
      </c>
    </row>
    <row r="149" spans="1:19">
      <c r="A149" s="52" t="s">
        <v>303</v>
      </c>
      <c r="B149" s="103" t="s">
        <v>308</v>
      </c>
      <c r="C149" s="104"/>
      <c r="D149" s="105"/>
      <c r="E149" s="106">
        <v>4</v>
      </c>
      <c r="F149" s="99">
        <v>192657</v>
      </c>
      <c r="G149" s="99"/>
      <c r="H149" s="99"/>
      <c r="I149" s="99"/>
      <c r="J149" s="100">
        <v>156515</v>
      </c>
      <c r="K149" s="101"/>
      <c r="L149" s="101"/>
      <c r="M149" s="102"/>
      <c r="N149" s="106">
        <v>0.81200000000000006</v>
      </c>
      <c r="O149" s="106">
        <v>82</v>
      </c>
      <c r="P149" s="106">
        <v>8</v>
      </c>
      <c r="Q149" s="106">
        <v>3.01</v>
      </c>
      <c r="R149" s="106">
        <v>28.39</v>
      </c>
      <c r="S149" s="106" t="s">
        <v>302</v>
      </c>
    </row>
  </sheetData>
  <mergeCells count="352">
    <mergeCell ref="F149:I149"/>
    <mergeCell ref="J149:M149"/>
    <mergeCell ref="B149:D149"/>
    <mergeCell ref="C6:L6"/>
    <mergeCell ref="J131:M131"/>
    <mergeCell ref="B63:D63"/>
    <mergeCell ref="B123:D123"/>
    <mergeCell ref="C4:L4"/>
    <mergeCell ref="B50:D50"/>
    <mergeCell ref="C1:L1"/>
    <mergeCell ref="F91:I91"/>
    <mergeCell ref="F66:I66"/>
    <mergeCell ref="F93:I93"/>
    <mergeCell ref="J113:M113"/>
    <mergeCell ref="J50:M50"/>
    <mergeCell ref="J121:M121"/>
    <mergeCell ref="J115:M115"/>
    <mergeCell ref="B116:D116"/>
    <mergeCell ref="B103:D103"/>
    <mergeCell ref="B39:C39"/>
    <mergeCell ref="J52:M52"/>
    <mergeCell ref="B118:D118"/>
    <mergeCell ref="J116:M116"/>
    <mergeCell ref="B55:D55"/>
    <mergeCell ref="J81:M81"/>
    <mergeCell ref="F104:I104"/>
    <mergeCell ref="B129:D129"/>
    <mergeCell ref="B147:D147"/>
    <mergeCell ref="A12:L12"/>
    <mergeCell ref="J129:M129"/>
    <mergeCell ref="F88:I88"/>
    <mergeCell ref="J110:M110"/>
    <mergeCell ref="F148:I148"/>
    <mergeCell ref="F54:I54"/>
    <mergeCell ref="F146:I146"/>
    <mergeCell ref="J141:M141"/>
    <mergeCell ref="F108:I108"/>
    <mergeCell ref="F83:I83"/>
    <mergeCell ref="F143:I143"/>
    <mergeCell ref="J99:M99"/>
    <mergeCell ref="B100:D100"/>
    <mergeCell ref="B75:D75"/>
    <mergeCell ref="J49:M49"/>
    <mergeCell ref="F85:I85"/>
    <mergeCell ref="J101:M101"/>
    <mergeCell ref="B102:D102"/>
    <mergeCell ref="J100:M100"/>
    <mergeCell ref="J94:M94"/>
    <mergeCell ref="J125:M125"/>
    <mergeCell ref="F136:I136"/>
    <mergeCell ref="B43:C43"/>
    <mergeCell ref="A7:D7"/>
    <mergeCell ref="F59:I59"/>
    <mergeCell ref="B40:C40"/>
    <mergeCell ref="F95:I95"/>
    <mergeCell ref="P38:R38"/>
    <mergeCell ref="B54:D54"/>
    <mergeCell ref="B125:D125"/>
    <mergeCell ref="J86:M86"/>
    <mergeCell ref="F97:I97"/>
    <mergeCell ref="F122:I122"/>
    <mergeCell ref="P40:R40"/>
    <mergeCell ref="B56:D56"/>
    <mergeCell ref="F72:I72"/>
    <mergeCell ref="B105:D105"/>
    <mergeCell ref="B41:C41"/>
    <mergeCell ref="B35:C35"/>
    <mergeCell ref="B120:D120"/>
    <mergeCell ref="B107:D107"/>
    <mergeCell ref="A11:K11"/>
    <mergeCell ref="A8:D8"/>
    <mergeCell ref="A10:D10"/>
    <mergeCell ref="B49:D49"/>
    <mergeCell ref="B65:D65"/>
    <mergeCell ref="B121:D121"/>
    <mergeCell ref="F145:I145"/>
    <mergeCell ref="J79:M79"/>
    <mergeCell ref="F140:I140"/>
    <mergeCell ref="F67:I67"/>
    <mergeCell ref="B22:L22"/>
    <mergeCell ref="F82:I82"/>
    <mergeCell ref="J106:M106"/>
    <mergeCell ref="B92:D92"/>
    <mergeCell ref="B38:C38"/>
    <mergeCell ref="B94:D94"/>
    <mergeCell ref="J128:M128"/>
    <mergeCell ref="B128:D128"/>
    <mergeCell ref="J142:M142"/>
    <mergeCell ref="J144:M144"/>
    <mergeCell ref="J70:M70"/>
    <mergeCell ref="B71:D71"/>
    <mergeCell ref="F106:I106"/>
    <mergeCell ref="B131:D131"/>
    <mergeCell ref="B58:D58"/>
    <mergeCell ref="B52:D52"/>
    <mergeCell ref="J63:M63"/>
    <mergeCell ref="P39:R39"/>
    <mergeCell ref="F69:I69"/>
    <mergeCell ref="F112:I112"/>
    <mergeCell ref="J112:M112"/>
    <mergeCell ref="B104:D104"/>
    <mergeCell ref="F127:I127"/>
    <mergeCell ref="J84:M84"/>
    <mergeCell ref="J78:M78"/>
    <mergeCell ref="B79:D79"/>
    <mergeCell ref="J127:M127"/>
    <mergeCell ref="B106:D106"/>
    <mergeCell ref="F51:I51"/>
    <mergeCell ref="J80:M80"/>
    <mergeCell ref="B81:D81"/>
    <mergeCell ref="J107:M107"/>
    <mergeCell ref="B146:D146"/>
    <mergeCell ref="J64:M64"/>
    <mergeCell ref="J120:M120"/>
    <mergeCell ref="E10:L10"/>
    <mergeCell ref="B83:D83"/>
    <mergeCell ref="J57:M57"/>
    <mergeCell ref="J93:M93"/>
    <mergeCell ref="B110:D110"/>
    <mergeCell ref="B85:D85"/>
    <mergeCell ref="B141:D141"/>
    <mergeCell ref="F126:I126"/>
    <mergeCell ref="F109:I109"/>
    <mergeCell ref="B24:L24"/>
    <mergeCell ref="J75:M75"/>
    <mergeCell ref="B26:L26"/>
    <mergeCell ref="F111:I111"/>
    <mergeCell ref="B136:D136"/>
    <mergeCell ref="F61:I61"/>
    <mergeCell ref="F48:I48"/>
    <mergeCell ref="B78:D78"/>
    <mergeCell ref="F73:I73"/>
    <mergeCell ref="B42:C42"/>
    <mergeCell ref="F137:I137"/>
    <mergeCell ref="B44:C44"/>
    <mergeCell ref="J148:M148"/>
    <mergeCell ref="J104:M104"/>
    <mergeCell ref="J54:M54"/>
    <mergeCell ref="F90:I90"/>
    <mergeCell ref="J56:M56"/>
    <mergeCell ref="B57:D57"/>
    <mergeCell ref="J105:M105"/>
    <mergeCell ref="F123:I123"/>
    <mergeCell ref="F116:I116"/>
    <mergeCell ref="J67:M67"/>
    <mergeCell ref="F103:I103"/>
    <mergeCell ref="B133:D133"/>
    <mergeCell ref="J59:M59"/>
    <mergeCell ref="F118:I118"/>
    <mergeCell ref="J69:M69"/>
    <mergeCell ref="B135:D135"/>
    <mergeCell ref="B62:D62"/>
    <mergeCell ref="B72:D72"/>
    <mergeCell ref="F70:I70"/>
    <mergeCell ref="B70:D70"/>
    <mergeCell ref="F134:I134"/>
    <mergeCell ref="F121:I121"/>
    <mergeCell ref="F96:I96"/>
    <mergeCell ref="F71:I71"/>
    <mergeCell ref="C3:L3"/>
    <mergeCell ref="J122:M122"/>
    <mergeCell ref="B127:D127"/>
    <mergeCell ref="J72:M72"/>
    <mergeCell ref="B64:D64"/>
    <mergeCell ref="C5:L5"/>
    <mergeCell ref="J136:M136"/>
    <mergeCell ref="F113:I113"/>
    <mergeCell ref="B122:D122"/>
    <mergeCell ref="E7:L7"/>
    <mergeCell ref="B16:L16"/>
    <mergeCell ref="F58:I58"/>
    <mergeCell ref="F52:I52"/>
    <mergeCell ref="B88:D88"/>
    <mergeCell ref="B82:D82"/>
    <mergeCell ref="J62:M62"/>
    <mergeCell ref="F98:I98"/>
    <mergeCell ref="E8:L8"/>
    <mergeCell ref="B18:L18"/>
    <mergeCell ref="F60:I60"/>
    <mergeCell ref="J88:M88"/>
    <mergeCell ref="F124:I124"/>
    <mergeCell ref="F74:I74"/>
    <mergeCell ref="B91:D91"/>
    <mergeCell ref="C2:L2"/>
    <mergeCell ref="F125:I125"/>
    <mergeCell ref="B48:D48"/>
    <mergeCell ref="J114:M114"/>
    <mergeCell ref="J51:M51"/>
    <mergeCell ref="J145:M145"/>
    <mergeCell ref="F87:I87"/>
    <mergeCell ref="J111:M111"/>
    <mergeCell ref="F147:I147"/>
    <mergeCell ref="F89:I89"/>
    <mergeCell ref="B114:D114"/>
    <mergeCell ref="J140:M140"/>
    <mergeCell ref="F101:I101"/>
    <mergeCell ref="B66:D66"/>
    <mergeCell ref="B45:C45"/>
    <mergeCell ref="F100:I100"/>
    <mergeCell ref="B130:D130"/>
    <mergeCell ref="B117:D117"/>
    <mergeCell ref="F115:I115"/>
    <mergeCell ref="J91:M91"/>
    <mergeCell ref="J66:M66"/>
    <mergeCell ref="B67:D67"/>
    <mergeCell ref="F102:I102"/>
    <mergeCell ref="B61:D61"/>
    <mergeCell ref="E9:L9"/>
    <mergeCell ref="B37:C37"/>
    <mergeCell ref="J117:M117"/>
    <mergeCell ref="B126:D126"/>
    <mergeCell ref="B109:D109"/>
    <mergeCell ref="J83:M83"/>
    <mergeCell ref="F94:I94"/>
    <mergeCell ref="B59:D59"/>
    <mergeCell ref="J119:M119"/>
    <mergeCell ref="J85:M85"/>
    <mergeCell ref="F77:I77"/>
    <mergeCell ref="B119:D119"/>
    <mergeCell ref="B69:D69"/>
    <mergeCell ref="B112:D112"/>
    <mergeCell ref="F114:I114"/>
    <mergeCell ref="J65:M65"/>
    <mergeCell ref="F76:I76"/>
    <mergeCell ref="B93:D93"/>
    <mergeCell ref="B20:L20"/>
    <mergeCell ref="B86:D86"/>
    <mergeCell ref="B101:D101"/>
    <mergeCell ref="F92:I92"/>
    <mergeCell ref="P36:R36"/>
    <mergeCell ref="B148:D148"/>
    <mergeCell ref="B108:D108"/>
    <mergeCell ref="F53:I53"/>
    <mergeCell ref="J126:M126"/>
    <mergeCell ref="J82:M82"/>
    <mergeCell ref="B143:D143"/>
    <mergeCell ref="F68:I68"/>
    <mergeCell ref="J146:M146"/>
    <mergeCell ref="F84:I84"/>
    <mergeCell ref="F86:I86"/>
    <mergeCell ref="F142:I142"/>
    <mergeCell ref="F80:I80"/>
    <mergeCell ref="B134:D134"/>
    <mergeCell ref="F79:I79"/>
    <mergeCell ref="J108:M108"/>
    <mergeCell ref="F144:I144"/>
    <mergeCell ref="J95:M95"/>
    <mergeCell ref="B96:D96"/>
    <mergeCell ref="F81:I81"/>
    <mergeCell ref="B111:D111"/>
    <mergeCell ref="J137:M137"/>
    <mergeCell ref="B98:D98"/>
    <mergeCell ref="J124:M124"/>
    <mergeCell ref="P35:R35"/>
    <mergeCell ref="F50:I50"/>
    <mergeCell ref="J74:M74"/>
    <mergeCell ref="F110:I110"/>
    <mergeCell ref="B140:D140"/>
    <mergeCell ref="B115:D115"/>
    <mergeCell ref="B77:D77"/>
    <mergeCell ref="J103:M103"/>
    <mergeCell ref="F141:I141"/>
    <mergeCell ref="J118:M118"/>
    <mergeCell ref="F49:I49"/>
    <mergeCell ref="J92:M92"/>
    <mergeCell ref="F78:I78"/>
    <mergeCell ref="F65:I65"/>
    <mergeCell ref="B95:D95"/>
    <mergeCell ref="B89:D89"/>
    <mergeCell ref="J87:M87"/>
    <mergeCell ref="F55:I55"/>
    <mergeCell ref="B97:D97"/>
    <mergeCell ref="J123:M123"/>
    <mergeCell ref="J98:M98"/>
    <mergeCell ref="J89:M89"/>
    <mergeCell ref="B90:D90"/>
    <mergeCell ref="P41:R41"/>
    <mergeCell ref="B145:D145"/>
    <mergeCell ref="A1:B1"/>
    <mergeCell ref="B87:D87"/>
    <mergeCell ref="J61:M61"/>
    <mergeCell ref="J48:M48"/>
    <mergeCell ref="F64:I64"/>
    <mergeCell ref="J97:M97"/>
    <mergeCell ref="F128:I128"/>
    <mergeCell ref="B51:D51"/>
    <mergeCell ref="B28:L28"/>
    <mergeCell ref="B138:D138"/>
    <mergeCell ref="B113:D113"/>
    <mergeCell ref="J143:M143"/>
    <mergeCell ref="F129:I129"/>
    <mergeCell ref="B36:C36"/>
    <mergeCell ref="F131:I131"/>
    <mergeCell ref="B32:C32"/>
    <mergeCell ref="J109:M109"/>
    <mergeCell ref="J90:M90"/>
    <mergeCell ref="J139:M139"/>
    <mergeCell ref="B27:L27"/>
    <mergeCell ref="A9:D9"/>
    <mergeCell ref="F63:I63"/>
    <mergeCell ref="F99:I99"/>
    <mergeCell ref="B139:D139"/>
    <mergeCell ref="B76:D76"/>
    <mergeCell ref="J102:M102"/>
    <mergeCell ref="J77:M77"/>
    <mergeCell ref="J68:M68"/>
    <mergeCell ref="F133:I133"/>
    <mergeCell ref="F75:I75"/>
    <mergeCell ref="F135:I135"/>
    <mergeCell ref="F62:I62"/>
    <mergeCell ref="B124:D124"/>
    <mergeCell ref="B132:D132"/>
    <mergeCell ref="J133:M133"/>
    <mergeCell ref="J130:M130"/>
    <mergeCell ref="J135:M135"/>
    <mergeCell ref="F139:I139"/>
    <mergeCell ref="F138:I138"/>
    <mergeCell ref="J132:M132"/>
    <mergeCell ref="P37:R37"/>
    <mergeCell ref="B14:L14"/>
    <mergeCell ref="B142:D142"/>
    <mergeCell ref="B80:D80"/>
    <mergeCell ref="J60:M60"/>
    <mergeCell ref="B144:D144"/>
    <mergeCell ref="J53:M53"/>
    <mergeCell ref="J55:M55"/>
    <mergeCell ref="J147:M147"/>
    <mergeCell ref="F56:I56"/>
    <mergeCell ref="F105:I105"/>
    <mergeCell ref="B25:L25"/>
    <mergeCell ref="J134:M134"/>
    <mergeCell ref="B73:D73"/>
    <mergeCell ref="F120:I120"/>
    <mergeCell ref="J71:M71"/>
    <mergeCell ref="F107:I107"/>
    <mergeCell ref="J58:M58"/>
    <mergeCell ref="B137:D137"/>
    <mergeCell ref="F57:I57"/>
    <mergeCell ref="B99:D99"/>
    <mergeCell ref="J73:M73"/>
    <mergeCell ref="B74:D74"/>
    <mergeCell ref="B68:D68"/>
    <mergeCell ref="B60:D60"/>
    <mergeCell ref="J96:M96"/>
    <mergeCell ref="F130:I130"/>
    <mergeCell ref="B53:D53"/>
    <mergeCell ref="F117:I117"/>
    <mergeCell ref="J138:M138"/>
    <mergeCell ref="J76:M76"/>
    <mergeCell ref="F132:I132"/>
    <mergeCell ref="F119:I119"/>
    <mergeCell ref="B84:D84"/>
  </mergeCells>
  <dataValidations disablePrompts="1" count="1">
    <dataValidation type="list" allowBlank="1" showInputMessage="1" showErrorMessage="1" sqref="E35:E45" xr:uid="{00000000-0002-0000-0100-000000000000}">
      <formula1>$N$36:$N$41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3"/>
  <sheetViews>
    <sheetView topLeftCell="A19" zoomScaleNormal="100" workbookViewId="0">
      <selection activeCell="N19" sqref="N19"/>
    </sheetView>
  </sheetViews>
  <sheetFormatPr baseColWidth="10" defaultColWidth="10.85546875" defaultRowHeight="15"/>
  <cols>
    <col min="1" max="13" width="10.85546875" style="25" customWidth="1"/>
    <col min="14" max="14" width="26.85546875" style="25" customWidth="1"/>
    <col min="15" max="15" width="10.85546875" style="25" customWidth="1"/>
    <col min="16" max="16384" width="10.85546875" style="25"/>
  </cols>
  <sheetData>
    <row r="1" spans="1:14">
      <c r="A1" s="96"/>
      <c r="B1" s="94"/>
      <c r="C1" s="96"/>
      <c r="D1" s="94"/>
      <c r="E1" s="94"/>
      <c r="F1" s="94"/>
      <c r="G1" s="94"/>
      <c r="H1" s="94"/>
      <c r="I1" s="94"/>
      <c r="J1" s="94"/>
      <c r="K1" s="94"/>
      <c r="L1" s="94"/>
    </row>
    <row r="2" spans="1:14" ht="15.75" customHeight="1">
      <c r="C2" s="98" t="s">
        <v>0</v>
      </c>
      <c r="D2" s="94"/>
      <c r="E2" s="94"/>
      <c r="F2" s="94"/>
      <c r="G2" s="94"/>
      <c r="H2" s="94"/>
      <c r="I2" s="94"/>
      <c r="J2" s="94"/>
      <c r="K2" s="94"/>
      <c r="L2" s="94"/>
    </row>
    <row r="3" spans="1:14">
      <c r="C3" s="93" t="s">
        <v>1</v>
      </c>
      <c r="D3" s="94"/>
      <c r="E3" s="94"/>
      <c r="F3" s="94"/>
      <c r="G3" s="94"/>
      <c r="H3" s="94"/>
      <c r="I3" s="94"/>
      <c r="J3" s="94"/>
      <c r="K3" s="94"/>
      <c r="L3" s="94"/>
    </row>
    <row r="4" spans="1:14">
      <c r="C4" s="93" t="s">
        <v>2</v>
      </c>
      <c r="D4" s="94"/>
      <c r="E4" s="94"/>
      <c r="F4" s="94"/>
      <c r="G4" s="94"/>
      <c r="H4" s="94"/>
      <c r="I4" s="94"/>
      <c r="J4" s="94"/>
      <c r="K4" s="94"/>
      <c r="L4" s="94"/>
    </row>
    <row r="5" spans="1:14">
      <c r="C5" s="93" t="s">
        <v>3</v>
      </c>
      <c r="D5" s="94"/>
      <c r="E5" s="94"/>
      <c r="F5" s="94"/>
      <c r="G5" s="94"/>
      <c r="H5" s="94"/>
      <c r="I5" s="94"/>
      <c r="J5" s="94"/>
      <c r="K5" s="94"/>
      <c r="L5" s="94"/>
    </row>
    <row r="6" spans="1:14">
      <c r="A6" s="26"/>
      <c r="B6" s="26"/>
      <c r="C6" s="97"/>
      <c r="D6" s="68"/>
      <c r="E6" s="68"/>
      <c r="F6" s="68"/>
      <c r="G6" s="68"/>
      <c r="H6" s="68"/>
      <c r="I6" s="68"/>
      <c r="J6" s="68"/>
      <c r="K6" s="68"/>
      <c r="L6" s="68"/>
    </row>
    <row r="7" spans="1:14" ht="15" customHeight="1">
      <c r="A7" s="62" t="s">
        <v>4</v>
      </c>
      <c r="B7" s="63"/>
      <c r="C7" s="63"/>
      <c r="D7" s="63"/>
      <c r="E7" s="73" t="s">
        <v>5</v>
      </c>
      <c r="F7" s="63"/>
      <c r="G7" s="63"/>
      <c r="H7" s="63"/>
      <c r="I7" s="63"/>
      <c r="J7" s="63"/>
      <c r="K7" s="63"/>
      <c r="L7" s="74"/>
    </row>
    <row r="8" spans="1:14" ht="15.95" customHeight="1">
      <c r="A8" s="75" t="s">
        <v>6</v>
      </c>
      <c r="B8" s="94"/>
      <c r="C8" s="94"/>
      <c r="D8" s="94"/>
      <c r="E8" s="64" t="s">
        <v>7</v>
      </c>
      <c r="F8" s="94"/>
      <c r="G8" s="94"/>
      <c r="H8" s="94"/>
      <c r="I8" s="94"/>
      <c r="J8" s="94"/>
      <c r="K8" s="94"/>
      <c r="L8" s="66"/>
    </row>
    <row r="9" spans="1:14" ht="15" customHeight="1">
      <c r="A9" s="70" t="s">
        <v>8</v>
      </c>
      <c r="B9" s="94"/>
      <c r="C9" s="94"/>
      <c r="D9" s="94"/>
      <c r="E9" s="79" t="s">
        <v>9</v>
      </c>
      <c r="F9" s="94"/>
      <c r="G9" s="94"/>
      <c r="H9" s="94"/>
      <c r="I9" s="94"/>
      <c r="J9" s="94"/>
      <c r="K9" s="94"/>
      <c r="L9" s="66"/>
    </row>
    <row r="10" spans="1:14" ht="15.95" customHeight="1">
      <c r="A10" s="76" t="s">
        <v>10</v>
      </c>
      <c r="B10" s="68"/>
      <c r="C10" s="68"/>
      <c r="D10" s="68"/>
      <c r="E10" s="67" t="s">
        <v>11</v>
      </c>
      <c r="F10" s="68"/>
      <c r="G10" s="68"/>
      <c r="H10" s="68"/>
      <c r="I10" s="68"/>
      <c r="J10" s="68"/>
      <c r="K10" s="68"/>
      <c r="L10" s="61"/>
    </row>
    <row r="11" spans="1:14">
      <c r="A11" s="95"/>
      <c r="B11" s="94"/>
      <c r="C11" s="94"/>
      <c r="D11" s="94"/>
      <c r="E11" s="94"/>
      <c r="F11" s="94"/>
      <c r="G11" s="94"/>
      <c r="H11" s="94"/>
      <c r="I11" s="94"/>
      <c r="J11" s="94"/>
      <c r="K11" s="94"/>
    </row>
    <row r="12" spans="1:14">
      <c r="A12" s="91" t="s">
        <v>312</v>
      </c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56"/>
      <c r="N12" s="17" t="s">
        <v>199</v>
      </c>
    </row>
    <row r="13" spans="1:14">
      <c r="N13" s="27" t="s">
        <v>313</v>
      </c>
    </row>
  </sheetData>
  <mergeCells count="17">
    <mergeCell ref="A1:B1"/>
    <mergeCell ref="C6:L6"/>
    <mergeCell ref="A10:D10"/>
    <mergeCell ref="C2:L2"/>
    <mergeCell ref="C1:L1"/>
    <mergeCell ref="E8:L8"/>
    <mergeCell ref="C4:L4"/>
    <mergeCell ref="C3:L3"/>
    <mergeCell ref="E10:L10"/>
    <mergeCell ref="A11:K11"/>
    <mergeCell ref="A7:D7"/>
    <mergeCell ref="C5:L5"/>
    <mergeCell ref="E9:L9"/>
    <mergeCell ref="A9:D9"/>
    <mergeCell ref="A8:D8"/>
    <mergeCell ref="A12:L12"/>
    <mergeCell ref="E7:L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56"/>
  <sheetViews>
    <sheetView tabSelected="1" topLeftCell="A24" zoomScale="130" zoomScaleNormal="130" workbookViewId="0">
      <selection activeCell="J33" sqref="J33"/>
    </sheetView>
  </sheetViews>
  <sheetFormatPr baseColWidth="10" defaultRowHeight="15"/>
  <cols>
    <col min="1" max="1" width="5.7109375" customWidth="1"/>
    <col min="2" max="2" width="16" bestFit="1" customWidth="1"/>
    <col min="4" max="4" width="8.85546875" bestFit="1" customWidth="1"/>
    <col min="5" max="5" width="22.42578125" customWidth="1"/>
    <col min="6" max="6" width="15.85546875" bestFit="1" customWidth="1"/>
    <col min="7" max="7" width="9.85546875" bestFit="1" customWidth="1"/>
    <col min="8" max="8" width="10.7109375" bestFit="1" customWidth="1"/>
    <col min="9" max="9" width="6.7109375" bestFit="1" customWidth="1"/>
    <col min="10" max="10" width="18.140625" customWidth="1"/>
    <col min="13" max="34" width="10.85546875" style="25" customWidth="1"/>
  </cols>
  <sheetData>
    <row r="1" spans="1:12">
      <c r="A1" s="96"/>
      <c r="B1" s="65"/>
      <c r="C1" s="96"/>
      <c r="D1" s="65"/>
      <c r="E1" s="65"/>
      <c r="F1" s="65"/>
      <c r="G1" s="65"/>
      <c r="H1" s="65"/>
      <c r="I1" s="65"/>
      <c r="J1" s="65"/>
      <c r="K1" s="65"/>
      <c r="L1" s="65"/>
    </row>
    <row r="2" spans="1:12" ht="15.75" customHeight="1">
      <c r="A2" s="25"/>
      <c r="B2" s="25"/>
      <c r="C2" s="98" t="s">
        <v>0</v>
      </c>
      <c r="D2" s="65"/>
      <c r="E2" s="65"/>
      <c r="F2" s="65"/>
      <c r="G2" s="65"/>
      <c r="H2" s="65"/>
      <c r="I2" s="65"/>
      <c r="J2" s="65"/>
      <c r="K2" s="65"/>
      <c r="L2" s="65"/>
    </row>
    <row r="3" spans="1:12">
      <c r="A3" s="25"/>
      <c r="B3" s="25"/>
      <c r="C3" s="93" t="s">
        <v>1</v>
      </c>
      <c r="D3" s="65"/>
      <c r="E3" s="65"/>
      <c r="F3" s="65"/>
      <c r="G3" s="65"/>
      <c r="H3" s="65"/>
      <c r="I3" s="65"/>
      <c r="J3" s="65"/>
      <c r="K3" s="65"/>
      <c r="L3" s="65"/>
    </row>
    <row r="4" spans="1:12">
      <c r="A4" s="25"/>
      <c r="B4" s="25"/>
      <c r="C4" s="93" t="s">
        <v>2</v>
      </c>
      <c r="D4" s="65"/>
      <c r="E4" s="65"/>
      <c r="F4" s="65"/>
      <c r="G4" s="65"/>
      <c r="H4" s="65"/>
      <c r="I4" s="65"/>
      <c r="J4" s="65"/>
      <c r="K4" s="65"/>
      <c r="L4" s="65"/>
    </row>
    <row r="5" spans="1:12">
      <c r="A5" s="25"/>
      <c r="B5" s="25"/>
      <c r="C5" s="93" t="s">
        <v>3</v>
      </c>
      <c r="D5" s="65"/>
      <c r="E5" s="65"/>
      <c r="F5" s="65"/>
      <c r="G5" s="65"/>
      <c r="H5" s="65"/>
      <c r="I5" s="65"/>
      <c r="J5" s="65"/>
      <c r="K5" s="65"/>
      <c r="L5" s="65"/>
    </row>
    <row r="6" spans="1:12">
      <c r="A6" s="26"/>
      <c r="B6" s="26"/>
      <c r="C6" s="97"/>
      <c r="D6" s="68"/>
      <c r="E6" s="68"/>
      <c r="F6" s="68"/>
      <c r="G6" s="68"/>
      <c r="H6" s="68"/>
      <c r="I6" s="68"/>
      <c r="J6" s="68"/>
      <c r="K6" s="68"/>
      <c r="L6" s="68"/>
    </row>
    <row r="7" spans="1:12">
      <c r="A7" s="62" t="s">
        <v>4</v>
      </c>
      <c r="B7" s="63"/>
      <c r="C7" s="63"/>
      <c r="D7" s="63"/>
      <c r="E7" s="73" t="s">
        <v>5</v>
      </c>
      <c r="F7" s="63"/>
      <c r="G7" s="63"/>
      <c r="H7" s="63"/>
      <c r="I7" s="63"/>
      <c r="J7" s="63"/>
      <c r="K7" s="63"/>
      <c r="L7" s="74"/>
    </row>
    <row r="8" spans="1:12" ht="15.75" customHeight="1">
      <c r="A8" s="75" t="s">
        <v>6</v>
      </c>
      <c r="B8" s="65"/>
      <c r="C8" s="65"/>
      <c r="D8" s="65"/>
      <c r="E8" s="64" t="s">
        <v>7</v>
      </c>
      <c r="F8" s="65"/>
      <c r="G8" s="65"/>
      <c r="H8" s="65"/>
      <c r="I8" s="65"/>
      <c r="J8" s="65"/>
      <c r="K8" s="65"/>
      <c r="L8" s="66"/>
    </row>
    <row r="9" spans="1:12">
      <c r="A9" s="70" t="s">
        <v>8</v>
      </c>
      <c r="B9" s="65"/>
      <c r="C9" s="65"/>
      <c r="D9" s="65"/>
      <c r="E9" s="79" t="s">
        <v>9</v>
      </c>
      <c r="F9" s="65"/>
      <c r="G9" s="65"/>
      <c r="H9" s="65"/>
      <c r="I9" s="65"/>
      <c r="J9" s="65"/>
      <c r="K9" s="65"/>
      <c r="L9" s="66"/>
    </row>
    <row r="10" spans="1:12" ht="15.75" customHeight="1">
      <c r="A10" s="76" t="s">
        <v>10</v>
      </c>
      <c r="B10" s="68"/>
      <c r="C10" s="68"/>
      <c r="D10" s="68"/>
      <c r="E10" s="67" t="s">
        <v>11</v>
      </c>
      <c r="F10" s="68"/>
      <c r="G10" s="68"/>
      <c r="H10" s="68"/>
      <c r="I10" s="68"/>
      <c r="J10" s="68"/>
      <c r="K10" s="68"/>
      <c r="L10" s="61"/>
    </row>
    <row r="11" spans="1:12">
      <c r="A11" s="95"/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25"/>
    </row>
    <row r="12" spans="1:12">
      <c r="A12" s="91" t="s">
        <v>314</v>
      </c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56"/>
    </row>
    <row r="13" spans="1:12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</row>
    <row r="14" spans="1:12">
      <c r="A14" s="30" t="s">
        <v>315</v>
      </c>
      <c r="B14" s="30"/>
      <c r="C14" s="25"/>
      <c r="D14" s="90" t="s">
        <v>364</v>
      </c>
      <c r="E14" s="82"/>
      <c r="F14" s="82"/>
      <c r="G14" s="82"/>
      <c r="H14" s="82"/>
      <c r="I14" s="82"/>
      <c r="J14" s="82"/>
      <c r="K14" s="82"/>
      <c r="L14" s="56"/>
    </row>
    <row r="15" spans="1:12" s="25" customFormat="1">
      <c r="A15" s="30"/>
      <c r="B15" s="30"/>
      <c r="D15" s="28"/>
      <c r="E15" s="28"/>
      <c r="F15" s="28"/>
      <c r="G15" s="28"/>
      <c r="H15" s="28"/>
      <c r="I15" s="28"/>
      <c r="J15" s="28"/>
      <c r="K15" s="28"/>
      <c r="L15" s="28"/>
    </row>
    <row r="16" spans="1:12">
      <c r="A16" s="30" t="s">
        <v>242</v>
      </c>
      <c r="B16" s="30"/>
      <c r="C16" s="25"/>
      <c r="D16" s="116" t="s">
        <v>365</v>
      </c>
      <c r="E16" s="108"/>
      <c r="F16" s="108"/>
      <c r="G16" s="108"/>
      <c r="H16" s="108"/>
      <c r="I16" s="108"/>
      <c r="J16" s="108"/>
      <c r="K16" s="108"/>
      <c r="L16" s="109"/>
    </row>
    <row r="17" spans="1:12">
      <c r="A17" s="30"/>
      <c r="B17" s="30"/>
      <c r="C17" s="25"/>
      <c r="D17" s="110"/>
      <c r="E17" s="111"/>
      <c r="F17" s="111"/>
      <c r="G17" s="111"/>
      <c r="H17" s="111"/>
      <c r="I17" s="111"/>
      <c r="J17" s="111"/>
      <c r="K17" s="111"/>
      <c r="L17" s="112"/>
    </row>
    <row r="18" spans="1:12">
      <c r="A18" s="30"/>
      <c r="B18" s="30"/>
      <c r="C18" s="25"/>
      <c r="D18" s="113"/>
      <c r="E18" s="114"/>
      <c r="F18" s="114"/>
      <c r="G18" s="114"/>
      <c r="H18" s="114"/>
      <c r="I18" s="114"/>
      <c r="J18" s="114"/>
      <c r="K18" s="114"/>
      <c r="L18" s="115"/>
    </row>
    <row r="19" spans="1:12">
      <c r="A19" s="30"/>
      <c r="B19" s="30"/>
      <c r="C19" s="25"/>
      <c r="D19" s="25"/>
      <c r="E19" s="25"/>
      <c r="F19" s="25"/>
      <c r="G19" s="25"/>
      <c r="H19" s="25"/>
      <c r="I19" s="25"/>
      <c r="J19" s="25"/>
      <c r="K19" s="25"/>
      <c r="L19" s="25"/>
    </row>
    <row r="20" spans="1:12">
      <c r="A20" s="30" t="s">
        <v>316</v>
      </c>
      <c r="B20" s="30"/>
      <c r="C20" s="25"/>
      <c r="D20" s="90" t="s">
        <v>366</v>
      </c>
      <c r="E20" s="82"/>
      <c r="F20" s="82"/>
      <c r="G20" s="82"/>
      <c r="H20" s="82"/>
      <c r="I20" s="82"/>
      <c r="J20" s="82"/>
      <c r="K20" s="82"/>
      <c r="L20" s="56"/>
    </row>
    <row r="21" spans="1:12" s="25" customFormat="1">
      <c r="A21" s="30"/>
      <c r="B21" s="30"/>
      <c r="D21" s="28"/>
      <c r="E21" s="28"/>
      <c r="F21" s="28"/>
      <c r="G21" s="28"/>
      <c r="H21" s="28"/>
      <c r="I21" s="28"/>
      <c r="J21" s="28"/>
      <c r="K21" s="28"/>
      <c r="L21" s="28"/>
    </row>
    <row r="22" spans="1:12">
      <c r="A22" s="30" t="s">
        <v>317</v>
      </c>
      <c r="B22" s="30"/>
      <c r="C22" s="25"/>
      <c r="D22" s="117">
        <v>45931</v>
      </c>
      <c r="E22" s="82"/>
      <c r="F22" s="82"/>
      <c r="G22" s="82"/>
      <c r="H22" s="82"/>
      <c r="I22" s="82"/>
      <c r="J22" s="82"/>
      <c r="K22" s="82"/>
      <c r="L22" s="56"/>
    </row>
    <row r="23" spans="1:12">
      <c r="A23" s="30"/>
      <c r="B23" s="30"/>
      <c r="C23" s="25"/>
      <c r="D23" s="25"/>
      <c r="E23" s="25"/>
      <c r="F23" s="25"/>
      <c r="G23" s="25"/>
      <c r="H23" s="25"/>
      <c r="I23" s="25"/>
      <c r="J23" s="25"/>
      <c r="K23" s="25"/>
      <c r="L23" s="25"/>
    </row>
    <row r="24" spans="1:12">
      <c r="A24" s="30" t="s">
        <v>318</v>
      </c>
      <c r="B24" s="30"/>
      <c r="C24" s="25"/>
      <c r="D24" s="90" t="s">
        <v>367</v>
      </c>
      <c r="E24" s="82"/>
      <c r="F24" s="82"/>
      <c r="G24" s="82"/>
      <c r="H24" s="82"/>
      <c r="I24" s="82"/>
      <c r="J24" s="82"/>
      <c r="K24" s="82"/>
      <c r="L24" s="56"/>
    </row>
    <row r="25" spans="1:12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</row>
    <row r="26" spans="1:12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</row>
    <row r="27" spans="1:12">
      <c r="A27" s="31" t="s">
        <v>319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</row>
    <row r="28" spans="1:12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</row>
    <row r="29" spans="1:12">
      <c r="A29" s="32" t="s">
        <v>320</v>
      </c>
      <c r="B29" s="32" t="s">
        <v>321</v>
      </c>
      <c r="C29" s="32" t="s">
        <v>322</v>
      </c>
      <c r="D29" s="32" t="s">
        <v>323</v>
      </c>
      <c r="E29" s="32" t="s">
        <v>242</v>
      </c>
      <c r="F29" s="32" t="s">
        <v>324</v>
      </c>
      <c r="G29" s="32" t="s">
        <v>325</v>
      </c>
      <c r="H29" s="32" t="s">
        <v>326</v>
      </c>
      <c r="I29" s="32" t="s">
        <v>327</v>
      </c>
      <c r="J29" s="32" t="s">
        <v>328</v>
      </c>
      <c r="K29" s="25"/>
      <c r="L29" s="25"/>
    </row>
    <row r="30" spans="1:12">
      <c r="A30" s="38">
        <v>1</v>
      </c>
      <c r="B30" s="43" t="s">
        <v>237</v>
      </c>
      <c r="C30" s="43" t="s">
        <v>329</v>
      </c>
      <c r="D30" s="43">
        <v>30</v>
      </c>
      <c r="E30" s="43" t="s">
        <v>330</v>
      </c>
      <c r="F30" s="43" t="s">
        <v>331</v>
      </c>
      <c r="G30" s="118" t="s">
        <v>303</v>
      </c>
      <c r="H30" s="42" t="s">
        <v>332</v>
      </c>
      <c r="I30" s="43" t="s">
        <v>333</v>
      </c>
      <c r="J30" s="42"/>
      <c r="K30" s="25"/>
      <c r="L30" s="25"/>
    </row>
    <row r="31" spans="1:12">
      <c r="A31" s="38">
        <v>2</v>
      </c>
      <c r="B31" s="43" t="s">
        <v>245</v>
      </c>
      <c r="C31" s="43" t="s">
        <v>329</v>
      </c>
      <c r="D31" s="43">
        <v>15</v>
      </c>
      <c r="E31" s="43" t="s">
        <v>334</v>
      </c>
      <c r="F31" s="43" t="s">
        <v>335</v>
      </c>
      <c r="G31" s="51" t="s">
        <v>336</v>
      </c>
      <c r="H31" s="42" t="s">
        <v>332</v>
      </c>
      <c r="I31" s="43" t="s">
        <v>333</v>
      </c>
      <c r="J31" s="42"/>
      <c r="K31" s="25"/>
      <c r="L31" s="25"/>
    </row>
    <row r="32" spans="1:12">
      <c r="A32" s="38">
        <v>3</v>
      </c>
      <c r="B32" s="43" t="s">
        <v>251</v>
      </c>
      <c r="C32" s="40" t="s">
        <v>337</v>
      </c>
      <c r="D32" s="43">
        <v>10</v>
      </c>
      <c r="E32" s="40" t="s">
        <v>338</v>
      </c>
      <c r="F32" s="43" t="s">
        <v>339</v>
      </c>
      <c r="G32" s="51">
        <v>21</v>
      </c>
      <c r="H32" s="42" t="s">
        <v>332</v>
      </c>
      <c r="I32" s="43" t="s">
        <v>333</v>
      </c>
      <c r="J32" s="42"/>
      <c r="K32" s="25"/>
      <c r="L32" s="25"/>
    </row>
    <row r="33" spans="1:12">
      <c r="A33" s="38">
        <v>4</v>
      </c>
      <c r="B33" s="43" t="s">
        <v>258</v>
      </c>
      <c r="C33" s="43" t="s">
        <v>337</v>
      </c>
      <c r="D33" s="50">
        <v>12.2</v>
      </c>
      <c r="E33" s="43" t="s">
        <v>340</v>
      </c>
      <c r="F33" s="43" t="s">
        <v>339</v>
      </c>
      <c r="G33" s="119">
        <v>2000000</v>
      </c>
      <c r="H33" s="42" t="s">
        <v>332</v>
      </c>
      <c r="I33" s="43" t="s">
        <v>341</v>
      </c>
      <c r="J33" s="42"/>
      <c r="K33" s="25"/>
      <c r="L33" s="25"/>
    </row>
    <row r="34" spans="1:12">
      <c r="A34" s="38">
        <v>5</v>
      </c>
      <c r="B34" s="43" t="s">
        <v>265</v>
      </c>
      <c r="C34" s="43" t="s">
        <v>337</v>
      </c>
      <c r="D34" s="43">
        <v>12.2</v>
      </c>
      <c r="E34" s="43" t="s">
        <v>342</v>
      </c>
      <c r="F34" s="43" t="s">
        <v>339</v>
      </c>
      <c r="G34" s="119">
        <v>500000</v>
      </c>
      <c r="H34" s="42" t="s">
        <v>332</v>
      </c>
      <c r="I34" s="43" t="s">
        <v>341</v>
      </c>
      <c r="J34" s="42"/>
      <c r="K34" s="25"/>
      <c r="L34" s="25"/>
    </row>
    <row r="35" spans="1:12">
      <c r="A35" s="38">
        <v>6</v>
      </c>
      <c r="B35" s="43" t="s">
        <v>272</v>
      </c>
      <c r="C35" s="43" t="s">
        <v>343</v>
      </c>
      <c r="D35" s="43">
        <v>6.3</v>
      </c>
      <c r="E35" s="43" t="s">
        <v>344</v>
      </c>
      <c r="F35" s="43" t="s">
        <v>345</v>
      </c>
      <c r="G35" s="51" t="s">
        <v>346</v>
      </c>
      <c r="H35" s="42" t="s">
        <v>332</v>
      </c>
      <c r="I35" s="43" t="s">
        <v>347</v>
      </c>
      <c r="J35" s="42"/>
      <c r="K35" s="25"/>
      <c r="L35" s="25"/>
    </row>
    <row r="36" spans="1:12">
      <c r="A36" s="38">
        <v>7</v>
      </c>
      <c r="B36" s="43" t="s">
        <v>279</v>
      </c>
      <c r="C36" s="43" t="s">
        <v>343</v>
      </c>
      <c r="D36" s="43">
        <v>10</v>
      </c>
      <c r="E36" s="43" t="s">
        <v>348</v>
      </c>
      <c r="F36" s="43" t="s">
        <v>349</v>
      </c>
      <c r="G36" s="51">
        <v>20</v>
      </c>
      <c r="H36" s="42" t="s">
        <v>332</v>
      </c>
      <c r="I36" s="43" t="s">
        <v>350</v>
      </c>
      <c r="J36" s="41"/>
      <c r="K36" s="25"/>
      <c r="L36" s="25"/>
    </row>
    <row r="37" spans="1:12">
      <c r="A37" s="38">
        <v>8</v>
      </c>
      <c r="B37" s="43" t="s">
        <v>286</v>
      </c>
      <c r="C37" s="43" t="s">
        <v>337</v>
      </c>
      <c r="D37" s="43">
        <v>10</v>
      </c>
      <c r="E37" s="43" t="s">
        <v>351</v>
      </c>
      <c r="F37" s="43" t="s">
        <v>349</v>
      </c>
      <c r="G37" s="118">
        <v>30</v>
      </c>
      <c r="H37" s="42" t="s">
        <v>332</v>
      </c>
      <c r="I37" s="43" t="s">
        <v>350</v>
      </c>
      <c r="J37" s="41"/>
      <c r="K37" s="25"/>
      <c r="L37" s="25"/>
    </row>
    <row r="38" spans="1:12">
      <c r="A38" s="38">
        <v>9</v>
      </c>
      <c r="B38" s="43" t="s">
        <v>289</v>
      </c>
      <c r="C38" s="43" t="s">
        <v>337</v>
      </c>
      <c r="D38" s="43">
        <v>3.2</v>
      </c>
      <c r="E38" s="43" t="s">
        <v>352</v>
      </c>
      <c r="F38" s="43" t="s">
        <v>353</v>
      </c>
      <c r="G38" s="118" t="s">
        <v>368</v>
      </c>
      <c r="H38" s="42" t="s">
        <v>332</v>
      </c>
      <c r="I38" s="41" t="s">
        <v>354</v>
      </c>
      <c r="J38" s="41"/>
      <c r="K38" s="25"/>
      <c r="L38" s="25"/>
    </row>
    <row r="39" spans="1:12">
      <c r="A39" s="38">
        <v>10</v>
      </c>
      <c r="B39" s="43" t="s">
        <v>298</v>
      </c>
      <c r="C39" s="43" t="s">
        <v>337</v>
      </c>
      <c r="D39" s="43">
        <v>8.1999999999999993</v>
      </c>
      <c r="E39" s="43" t="s">
        <v>355</v>
      </c>
      <c r="F39" s="43" t="s">
        <v>349</v>
      </c>
      <c r="G39" s="118">
        <v>4</v>
      </c>
      <c r="H39" s="43" t="s">
        <v>356</v>
      </c>
      <c r="I39" s="43" t="s">
        <v>357</v>
      </c>
      <c r="J39" s="41"/>
      <c r="K39" s="25"/>
      <c r="L39" s="25"/>
    </row>
    <row r="40" spans="1:12">
      <c r="A40" s="38">
        <v>11</v>
      </c>
      <c r="B40" s="43" t="s">
        <v>294</v>
      </c>
      <c r="C40" s="43" t="s">
        <v>329</v>
      </c>
      <c r="D40" s="49">
        <v>5</v>
      </c>
      <c r="E40" s="49" t="s">
        <v>358</v>
      </c>
      <c r="F40" s="49" t="s">
        <v>359</v>
      </c>
      <c r="G40" s="118" t="s">
        <v>307</v>
      </c>
      <c r="H40" s="42" t="s">
        <v>332</v>
      </c>
      <c r="I40" s="49" t="s">
        <v>350</v>
      </c>
      <c r="J40" s="41"/>
      <c r="K40" s="25"/>
      <c r="L40" s="25"/>
    </row>
    <row r="41" spans="1:12">
      <c r="A41" s="29"/>
      <c r="B41" s="29"/>
      <c r="C41" s="29"/>
      <c r="D41" s="29"/>
      <c r="E41" s="29"/>
      <c r="F41" s="29"/>
      <c r="G41" s="29"/>
      <c r="H41" s="39"/>
      <c r="I41" s="29"/>
      <c r="J41" s="29"/>
      <c r="K41" s="25"/>
      <c r="L41" s="25"/>
    </row>
    <row r="42" spans="1:12">
      <c r="A42" s="29"/>
      <c r="B42" s="29"/>
      <c r="C42" s="29"/>
      <c r="D42" s="29"/>
      <c r="E42" s="29"/>
      <c r="F42" s="29"/>
      <c r="G42" s="29"/>
      <c r="H42" s="39"/>
      <c r="I42" s="29"/>
      <c r="J42" s="29"/>
      <c r="K42" s="25"/>
      <c r="L42" s="25"/>
    </row>
    <row r="43" spans="1:12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5"/>
      <c r="L43" s="25"/>
    </row>
    <row r="44" spans="1:12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</row>
    <row r="45" spans="1:12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</row>
    <row r="46" spans="1:12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</row>
    <row r="47" spans="1:12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</row>
    <row r="48" spans="1:12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</row>
    <row r="49" spans="1:12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</row>
    <row r="50" spans="1:12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</row>
    <row r="51" spans="1:12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</row>
    <row r="52" spans="1:12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</row>
    <row r="53" spans="1:1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</row>
    <row r="54" spans="1:1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</row>
    <row r="55" spans="1:1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</row>
    <row r="56" spans="1:1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</row>
  </sheetData>
  <mergeCells count="22">
    <mergeCell ref="C6:L6"/>
    <mergeCell ref="D24:L24"/>
    <mergeCell ref="C5:L5"/>
    <mergeCell ref="E9:L9"/>
    <mergeCell ref="D14:L14"/>
    <mergeCell ref="A7:D7"/>
    <mergeCell ref="D20:L20"/>
    <mergeCell ref="E7:L7"/>
    <mergeCell ref="D22:L22"/>
    <mergeCell ref="D16:L18"/>
    <mergeCell ref="A8:D8"/>
    <mergeCell ref="A11:K11"/>
    <mergeCell ref="A1:B1"/>
    <mergeCell ref="A10:D10"/>
    <mergeCell ref="E8:L8"/>
    <mergeCell ref="A12:L12"/>
    <mergeCell ref="A9:D9"/>
    <mergeCell ref="C3:L3"/>
    <mergeCell ref="E10:L10"/>
    <mergeCell ref="C4:L4"/>
    <mergeCell ref="C1:L1"/>
    <mergeCell ref="C2: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Estudiantes</vt:lpstr>
      <vt:lpstr>Plantilla Dataset</vt:lpstr>
      <vt:lpstr>Modelo de Entidad - Relación</vt:lpstr>
      <vt:lpstr>Diccionario de datos</vt:lpstr>
      <vt:lpstr>page\x2dtotal</vt:lpstr>
      <vt:lpstr>page\x2dtotal\x2dmaster0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Alberto De La Rosa Banquez</cp:lastModifiedBy>
  <dcterms:created xsi:type="dcterms:W3CDTF">2025-09-11T01:28:41Z</dcterms:created>
  <dcterms:modified xsi:type="dcterms:W3CDTF">2026-04-10T21:40:10Z</dcterms:modified>
</cp:coreProperties>
</file>