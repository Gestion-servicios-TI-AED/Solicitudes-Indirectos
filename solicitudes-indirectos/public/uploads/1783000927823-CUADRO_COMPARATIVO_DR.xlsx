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707353E-C86E-4FE9-8F9D-C04438BCA24D}" xr6:coauthVersionLast="47" xr6:coauthVersionMax="47" xr10:uidLastSave="{00000000-0000-0000-0000-000000000000}"/>
  <bookViews>
    <workbookView xWindow="-108" yWindow="-108" windowWidth="23256" windowHeight="12456" xr2:uid="{3F23A8BF-D97B-42CC-9F1C-41A977D71324}"/>
  </bookViews>
  <sheets>
    <sheet name="CUADRO COMPARAT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1" i="1" s="1"/>
  <c r="M20" i="1"/>
  <c r="M19" i="1"/>
  <c r="M18" i="1" s="1"/>
  <c r="M17" i="1"/>
  <c r="M16" i="1" s="1"/>
  <c r="M15" i="1"/>
  <c r="M14" i="1"/>
  <c r="M13" i="1" s="1"/>
  <c r="K21" i="1"/>
  <c r="K18" i="1"/>
  <c r="K16" i="1"/>
  <c r="K13" i="1"/>
  <c r="AJ22" i="1"/>
  <c r="AJ20" i="1"/>
  <c r="AJ19" i="1"/>
  <c r="AJ17" i="1"/>
  <c r="AJ15" i="1"/>
  <c r="AJ14" i="1"/>
  <c r="AG22" i="1"/>
  <c r="AG20" i="1"/>
  <c r="AG19" i="1"/>
  <c r="AG17" i="1"/>
  <c r="AG15" i="1"/>
  <c r="AH15" i="1" s="1"/>
  <c r="AG14" i="1"/>
  <c r="AD14" i="1"/>
  <c r="AD22" i="1"/>
  <c r="AD20" i="1"/>
  <c r="AD19" i="1"/>
  <c r="AD17" i="1"/>
  <c r="AD15" i="1"/>
  <c r="AA15" i="1"/>
  <c r="AA17" i="1"/>
  <c r="AA19" i="1"/>
  <c r="AA20" i="1"/>
  <c r="AA22" i="1"/>
  <c r="AA14" i="1"/>
  <c r="W40" i="1"/>
  <c r="T40" i="1"/>
  <c r="Q40" i="1"/>
  <c r="N40" i="1"/>
  <c r="W33" i="1"/>
  <c r="T33" i="1"/>
  <c r="Q33" i="1"/>
  <c r="N33" i="1"/>
  <c r="BD29" i="1"/>
  <c r="BA29" i="1"/>
  <c r="AX29" i="1"/>
  <c r="AO29" i="1"/>
  <c r="AX23" i="1"/>
  <c r="AN23" i="1"/>
  <c r="BD22" i="1"/>
  <c r="BB22" i="1"/>
  <c r="BC22" i="1" s="1"/>
  <c r="BA22" i="1"/>
  <c r="AY22" i="1"/>
  <c r="AZ22" i="1" s="1"/>
  <c r="AX22" i="1"/>
  <c r="AV22" i="1"/>
  <c r="AW22" i="1" s="1"/>
  <c r="AU22" i="1"/>
  <c r="AS22" i="1"/>
  <c r="AT22" i="1" s="1"/>
  <c r="AP22" i="1"/>
  <c r="AQ22" i="1" s="1"/>
  <c r="AM22" i="1"/>
  <c r="AN22" i="1" s="1"/>
  <c r="AR22" i="1"/>
  <c r="Y22" i="1"/>
  <c r="Y21" i="1" s="1"/>
  <c r="X22" i="1"/>
  <c r="AL22" i="1" s="1"/>
  <c r="V22" i="1"/>
  <c r="V21" i="1" s="1"/>
  <c r="U22" i="1"/>
  <c r="AI22" i="1" s="1"/>
  <c r="S22" i="1"/>
  <c r="S21" i="1" s="1"/>
  <c r="R22" i="1"/>
  <c r="AF22" i="1" s="1"/>
  <c r="P22" i="1"/>
  <c r="P21" i="1" s="1"/>
  <c r="O22" i="1"/>
  <c r="AC22" i="1" s="1"/>
  <c r="K22" i="1"/>
  <c r="BD20" i="1"/>
  <c r="BB20" i="1"/>
  <c r="BC20" i="1" s="1"/>
  <c r="BA20" i="1"/>
  <c r="AY20" i="1"/>
  <c r="AZ20" i="1" s="1"/>
  <c r="AX20" i="1"/>
  <c r="AV20" i="1"/>
  <c r="AW20" i="1" s="1"/>
  <c r="AS20" i="1"/>
  <c r="AP20" i="1"/>
  <c r="AQ20" i="1" s="1"/>
  <c r="AO20" i="1"/>
  <c r="AM20" i="1"/>
  <c r="AN20" i="1" s="1"/>
  <c r="AU20" i="1"/>
  <c r="AR20" i="1"/>
  <c r="Y20" i="1"/>
  <c r="X20" i="1"/>
  <c r="AL20" i="1" s="1"/>
  <c r="V20" i="1"/>
  <c r="U20" i="1"/>
  <c r="AI20" i="1" s="1"/>
  <c r="S20" i="1"/>
  <c r="R20" i="1"/>
  <c r="AF20" i="1" s="1"/>
  <c r="P20" i="1"/>
  <c r="O20" i="1"/>
  <c r="AC20" i="1" s="1"/>
  <c r="K20" i="1"/>
  <c r="BD19" i="1"/>
  <c r="BB19" i="1"/>
  <c r="BC19" i="1" s="1"/>
  <c r="BA19" i="1"/>
  <c r="AY19" i="1"/>
  <c r="AZ19" i="1" s="1"/>
  <c r="AX19" i="1"/>
  <c r="AV19" i="1"/>
  <c r="AW19" i="1" s="1"/>
  <c r="AS19" i="1"/>
  <c r="AP19" i="1"/>
  <c r="AQ19" i="1" s="1"/>
  <c r="AO19" i="1"/>
  <c r="AM19" i="1"/>
  <c r="AN19" i="1" s="1"/>
  <c r="AU19" i="1"/>
  <c r="Y19" i="1"/>
  <c r="Y18" i="1" s="1"/>
  <c r="X19" i="1"/>
  <c r="AL19" i="1" s="1"/>
  <c r="V19" i="1"/>
  <c r="V18" i="1" s="1"/>
  <c r="U19" i="1"/>
  <c r="AI19" i="1" s="1"/>
  <c r="S19" i="1"/>
  <c r="R19" i="1"/>
  <c r="AF19" i="1" s="1"/>
  <c r="P19" i="1"/>
  <c r="O19" i="1"/>
  <c r="AC19" i="1" s="1"/>
  <c r="K19" i="1"/>
  <c r="U18" i="1"/>
  <c r="BD17" i="1"/>
  <c r="BD26" i="1" s="1"/>
  <c r="BB17" i="1"/>
  <c r="BC17" i="1" s="1"/>
  <c r="BC26" i="1" s="1"/>
  <c r="BA17" i="1"/>
  <c r="BA26" i="1" s="1"/>
  <c r="AY17" i="1"/>
  <c r="AZ17" i="1" s="1"/>
  <c r="AZ26" i="1" s="1"/>
  <c r="AX17" i="1"/>
  <c r="AX26" i="1" s="1"/>
  <c r="AV17" i="1"/>
  <c r="AW17" i="1" s="1"/>
  <c r="AW26" i="1" s="1"/>
  <c r="AU17" i="1"/>
  <c r="AU26" i="1" s="1"/>
  <c r="AS17" i="1"/>
  <c r="AT17" i="1" s="1"/>
  <c r="AT26" i="1" s="1"/>
  <c r="AP17" i="1"/>
  <c r="AQ17" i="1" s="1"/>
  <c r="AQ26" i="1" s="1"/>
  <c r="AO17" i="1"/>
  <c r="AO26" i="1" s="1"/>
  <c r="AM17" i="1"/>
  <c r="AN17" i="1" s="1"/>
  <c r="AN26" i="1" s="1"/>
  <c r="AR17" i="1"/>
  <c r="AR26" i="1" s="1"/>
  <c r="Y17" i="1"/>
  <c r="Y16" i="1" s="1"/>
  <c r="X17" i="1"/>
  <c r="X16" i="1" s="1"/>
  <c r="V17" i="1"/>
  <c r="U17" i="1"/>
  <c r="AI17" i="1" s="1"/>
  <c r="S17" i="1"/>
  <c r="S16" i="1" s="1"/>
  <c r="R17" i="1"/>
  <c r="AF17" i="1" s="1"/>
  <c r="P17" i="1"/>
  <c r="P16" i="1" s="1"/>
  <c r="O17" i="1"/>
  <c r="AB17" i="1" s="1"/>
  <c r="K17" i="1"/>
  <c r="V16" i="1"/>
  <c r="BD15" i="1"/>
  <c r="BB15" i="1"/>
  <c r="BC15" i="1" s="1"/>
  <c r="BA15" i="1"/>
  <c r="AY15" i="1"/>
  <c r="AZ15" i="1" s="1"/>
  <c r="AX15" i="1"/>
  <c r="AV15" i="1"/>
  <c r="AW15" i="1" s="1"/>
  <c r="AS15" i="1"/>
  <c r="AP15" i="1"/>
  <c r="AQ15" i="1" s="1"/>
  <c r="AO15" i="1"/>
  <c r="AM15" i="1"/>
  <c r="AN15" i="1" s="1"/>
  <c r="AU15" i="1"/>
  <c r="AR15" i="1"/>
  <c r="Y15" i="1"/>
  <c r="X15" i="1"/>
  <c r="AL15" i="1" s="1"/>
  <c r="V15" i="1"/>
  <c r="U15" i="1"/>
  <c r="AI15" i="1" s="1"/>
  <c r="S15" i="1"/>
  <c r="R15" i="1"/>
  <c r="AF15" i="1" s="1"/>
  <c r="P15" i="1"/>
  <c r="O15" i="1"/>
  <c r="AC15" i="1" s="1"/>
  <c r="K15" i="1"/>
  <c r="BD14" i="1"/>
  <c r="BB14" i="1"/>
  <c r="BC14" i="1" s="1"/>
  <c r="BA14" i="1"/>
  <c r="AY14" i="1"/>
  <c r="AZ14" i="1" s="1"/>
  <c r="AX14" i="1"/>
  <c r="AV14" i="1"/>
  <c r="AW14" i="1" s="1"/>
  <c r="AS14" i="1"/>
  <c r="AT14" i="1" s="1"/>
  <c r="AP14" i="1"/>
  <c r="AQ14" i="1" s="1"/>
  <c r="AO14" i="1"/>
  <c r="AM14" i="1"/>
  <c r="AN14" i="1" s="1"/>
  <c r="AU14" i="1"/>
  <c r="Y14" i="1"/>
  <c r="Y13" i="1" s="1"/>
  <c r="X14" i="1"/>
  <c r="AK14" i="1" s="1"/>
  <c r="V14" i="1"/>
  <c r="V13" i="1" s="1"/>
  <c r="U14" i="1"/>
  <c r="AI14" i="1" s="1"/>
  <c r="S14" i="1"/>
  <c r="R14" i="1"/>
  <c r="O14" i="1"/>
  <c r="AC14" i="1" s="1"/>
  <c r="K14" i="1"/>
  <c r="BB10" i="1"/>
  <c r="AY10" i="1"/>
  <c r="AV10" i="1"/>
  <c r="AS10" i="1"/>
  <c r="AP10" i="1"/>
  <c r="AM10" i="1"/>
  <c r="AJ10" i="1"/>
  <c r="AG10" i="1"/>
  <c r="AD10" i="1"/>
  <c r="AA10" i="1"/>
  <c r="M12" i="1" l="1"/>
  <c r="M29" i="1" s="1"/>
  <c r="L30" i="1" s="1"/>
  <c r="K12" i="1"/>
  <c r="K23" i="1" s="1"/>
  <c r="K29" i="1" s="1"/>
  <c r="AC30" i="1" s="1"/>
  <c r="P18" i="1"/>
  <c r="S13" i="1"/>
  <c r="U13" i="1"/>
  <c r="AK17" i="1"/>
  <c r="AK26" i="1" s="1"/>
  <c r="W35" i="1" s="1"/>
  <c r="AE14" i="1"/>
  <c r="AH19" i="1"/>
  <c r="AL14" i="1"/>
  <c r="AI26" i="1"/>
  <c r="T36" i="1" s="1"/>
  <c r="AH14" i="1"/>
  <c r="AL17" i="1"/>
  <c r="AL26" i="1" s="1"/>
  <c r="W36" i="1" s="1"/>
  <c r="S18" i="1"/>
  <c r="V12" i="1"/>
  <c r="V23" i="1" s="1"/>
  <c r="V26" i="1" s="1"/>
  <c r="V27" i="1" s="1"/>
  <c r="X21" i="1"/>
  <c r="P13" i="1"/>
  <c r="P12" i="1" s="1"/>
  <c r="P23" i="1" s="1"/>
  <c r="AH20" i="1"/>
  <c r="AK22" i="1"/>
  <c r="AE15" i="1"/>
  <c r="AB14" i="1"/>
  <c r="AE22" i="1"/>
  <c r="AE17" i="1"/>
  <c r="AF14" i="1"/>
  <c r="AF26" i="1" s="1"/>
  <c r="Q36" i="1" s="1"/>
  <c r="AC17" i="1"/>
  <c r="AC26" i="1" s="1"/>
  <c r="N36" i="1" s="1"/>
  <c r="AB15" i="1"/>
  <c r="I30" i="1"/>
  <c r="AO30" i="1"/>
  <c r="AO31" i="1" s="1"/>
  <c r="AR30" i="1"/>
  <c r="Y12" i="1"/>
  <c r="Y23" i="1" s="1"/>
  <c r="X13" i="1"/>
  <c r="X18" i="1"/>
  <c r="AR14" i="1"/>
  <c r="AB19" i="1"/>
  <c r="AR19" i="1"/>
  <c r="AB20" i="1"/>
  <c r="U21" i="1"/>
  <c r="AO22" i="1"/>
  <c r="AK15" i="1"/>
  <c r="U16" i="1"/>
  <c r="AK19" i="1"/>
  <c r="AK20" i="1"/>
  <c r="AH22" i="1"/>
  <c r="AH17" i="1"/>
  <c r="AT19" i="1"/>
  <c r="AT20" i="1"/>
  <c r="AT15" i="1"/>
  <c r="AE19" i="1"/>
  <c r="AE20" i="1"/>
  <c r="AB22" i="1"/>
  <c r="S12" i="1" l="1"/>
  <c r="S23" i="1" s="1"/>
  <c r="M23" i="1"/>
  <c r="AU30" i="1"/>
  <c r="BA30" i="1"/>
  <c r="BA31" i="1" s="1"/>
  <c r="AX30" i="1"/>
  <c r="AX31" i="1" s="1"/>
  <c r="AL30" i="1"/>
  <c r="AF30" i="1"/>
  <c r="BD30" i="1"/>
  <c r="BD31" i="1" s="1"/>
  <c r="AI30" i="1"/>
  <c r="P26" i="1"/>
  <c r="P27" i="1"/>
  <c r="P28" i="1"/>
  <c r="P24" i="1"/>
  <c r="V24" i="1"/>
  <c r="V25" i="1"/>
  <c r="AH26" i="1"/>
  <c r="T35" i="1" s="1"/>
  <c r="AB26" i="1"/>
  <c r="N35" i="1" s="1"/>
  <c r="AE26" i="1"/>
  <c r="Q35" i="1" s="1"/>
  <c r="P25" i="1"/>
  <c r="Y26" i="1"/>
  <c r="Y25" i="1"/>
  <c r="Y24" i="1"/>
  <c r="Y28" i="1"/>
  <c r="Y27" i="1"/>
  <c r="S26" i="1"/>
  <c r="S25" i="1"/>
  <c r="S28" i="1"/>
  <c r="S24" i="1"/>
  <c r="S27" i="1"/>
  <c r="P29" i="1" l="1"/>
  <c r="N30" i="1" s="1"/>
  <c r="AC29" i="1" s="1"/>
  <c r="AC31" i="1" s="1"/>
  <c r="Y29" i="1"/>
  <c r="W30" i="1" s="1"/>
  <c r="AL29" i="1" s="1"/>
  <c r="V29" i="1"/>
  <c r="T30" i="1" s="1"/>
  <c r="S29" i="1"/>
  <c r="Q30" i="1" s="1"/>
  <c r="AL31" i="1"/>
  <c r="W34" i="1"/>
  <c r="AU29" i="1"/>
  <c r="AU31" i="1" s="1"/>
  <c r="AR29" i="1"/>
  <c r="AR31" i="1" s="1"/>
  <c r="N34" i="1" l="1"/>
  <c r="AC39" i="1"/>
  <c r="AI29" i="1"/>
  <c r="AI31" i="1" s="1"/>
  <c r="T34" i="1"/>
  <c r="Q34" i="1"/>
  <c r="AF29" i="1"/>
  <c r="AF31" i="1" s="1"/>
</calcChain>
</file>

<file path=xl/sharedStrings.xml><?xml version="1.0" encoding="utf-8"?>
<sst xmlns="http://schemas.openxmlformats.org/spreadsheetml/2006/main" count="144" uniqueCount="71">
  <si>
    <t>FECHA DE APROBACIÓN:  09.10.2024</t>
  </si>
  <si>
    <t xml:space="preserve">FECHA: </t>
  </si>
  <si>
    <t># PROCESO</t>
  </si>
  <si>
    <t xml:space="preserve">MODALIDAD DE CONTRATACIÓN / MONEDA: </t>
  </si>
  <si>
    <t>UNITARIO/COP</t>
  </si>
  <si>
    <t xml:space="preserve">OBJETO: </t>
  </si>
  <si>
    <t>PROPONENTES</t>
  </si>
  <si>
    <t>ÍTEMS POR CONTRATAR</t>
  </si>
  <si>
    <t>PRESUPUESTO SINCO</t>
  </si>
  <si>
    <t xml:space="preserve">PRECIOS DE REFERENCIA ETAPA ANTERIOR
</t>
  </si>
  <si>
    <t>TODO COSTO</t>
  </si>
  <si>
    <t>MANO DE OBRA</t>
  </si>
  <si>
    <t xml:space="preserve">ÍTEM /SUB CAPITULO </t>
  </si>
  <si>
    <t>DESCRIPCIÓN</t>
  </si>
  <si>
    <t>OBSERVACIONES ESPECIALES</t>
  </si>
  <si>
    <t>UNIDAD</t>
  </si>
  <si>
    <t>CANT.</t>
  </si>
  <si>
    <t>CANTIDAD</t>
  </si>
  <si>
    <t>VR. UNITARIO</t>
  </si>
  <si>
    <t>VR. TOTAL</t>
  </si>
  <si>
    <t>VR. PARCIAL</t>
  </si>
  <si>
    <t>VR. UNITARIO CON AIU</t>
  </si>
  <si>
    <t>VR. TOTAL SIN IVA</t>
  </si>
  <si>
    <t>DIFERENCIA POR CANTIDAD</t>
  </si>
  <si>
    <t>PRECIO POR CANTIDAD</t>
  </si>
  <si>
    <t>DIFERENCIA POR PRECIO</t>
  </si>
  <si>
    <t>KALA 3</t>
  </si>
  <si>
    <t xml:space="preserve">TOTAL - COSTOS DIRECTO </t>
  </si>
  <si>
    <t>A</t>
  </si>
  <si>
    <t>I</t>
  </si>
  <si>
    <t>U</t>
  </si>
  <si>
    <t>TOTAL</t>
  </si>
  <si>
    <t>IVA/UTILIDAD</t>
  </si>
  <si>
    <t>IVA PLENO</t>
  </si>
  <si>
    <t>TOTAL  PARCIAL</t>
  </si>
  <si>
    <t>DIF TOTAL</t>
  </si>
  <si>
    <t>TOTAL OFERTA S+I</t>
  </si>
  <si>
    <t>ppto</t>
  </si>
  <si>
    <t>DIFERENCIAS</t>
  </si>
  <si>
    <t>DIFERENCIA VS PPTO</t>
  </si>
  <si>
    <t>z</t>
  </si>
  <si>
    <t>DIF</t>
  </si>
  <si>
    <t>CONDICIONES COMERCIALES</t>
  </si>
  <si>
    <t>VIGENCIA OFERTA:</t>
  </si>
  <si>
    <t>TIEMPO DE ENTREGA:</t>
  </si>
  <si>
    <t>MANTENIMIENTO</t>
  </si>
  <si>
    <t>GARANTIA</t>
  </si>
  <si>
    <t>DESCARGUE DEL MATERIAL</t>
  </si>
  <si>
    <t>FORMA DE PAGO:</t>
  </si>
  <si>
    <t>¿TIENE CANJE EN CURSO?</t>
  </si>
  <si>
    <t>¿SE COMPROMETE A VINCULAR EL NEGOCIO CON UN CANJE?</t>
  </si>
  <si>
    <t>OBSERVACIONES DE LA OFERTA</t>
  </si>
  <si>
    <t>ELABORÓ</t>
  </si>
  <si>
    <t>NOMBRE:</t>
  </si>
  <si>
    <t>Mayra Marmolejo C.</t>
  </si>
  <si>
    <t>CARGO:</t>
  </si>
  <si>
    <t>Coord. De compras y negociaciones</t>
  </si>
  <si>
    <t>REVISÓ</t>
  </si>
  <si>
    <t>Didier Moreno M.</t>
  </si>
  <si>
    <t>Grte. De Compras</t>
  </si>
  <si>
    <t>REVISIÓN No. 001</t>
  </si>
  <si>
    <t>------------------------</t>
  </si>
  <si>
    <t>OFERENTE 2</t>
  </si>
  <si>
    <t>OFERENTE 3</t>
  </si>
  <si>
    <t>OFERENTE 4</t>
  </si>
  <si>
    <t>CUADRO COMPARATIVO DE SELECCIÓN DE OFERTAS
PROYECTO. LAGUNA
ETAPA. UNICA
FRENTE. OPERACIÓN LAGUNA</t>
  </si>
  <si>
    <t>TOMAS CON DRONE EN PLAYA Y SECTOR KALA, CON FINES COMERCIALES</t>
  </si>
  <si>
    <t>DAVID RICO</t>
  </si>
  <si>
    <t>Sesion fotografica con Drone</t>
  </si>
  <si>
    <t>1</t>
  </si>
  <si>
    <t>Sesion fotografias con Drone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</si>
</sst>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$&quot;\ #,##0;\-&quot;$&quot;\ #,##0"/>
    <numFmt numFmtId="42" formatCode="_-&quot;$&quot;\ * #,##0_-;\-&quot;$&quot;\ * #,##0_-;_-&quot;$&quot;\ * &quot;-&quot;_-;_-@_-"/>
    <numFmt numFmtId="43" formatCode="_-* #,##0.00_-;\-* #,##0.00_-;_-* &quot;-&quot;??_-;_-@_-"/>
    <numFmt numFmtId="164" formatCode="_-* #,##0.0_-;\-* #,##0.0_-;_-* &quot;-&quot;??_-;_-@_-"/>
    <numFmt numFmtId="165" formatCode="_-&quot;$ &quot;* #,##0.00_-;&quot;-$ &quot;* #,##0.00_-;_-&quot;$ &quot;* \-??_-;_-@_-"/>
    <numFmt numFmtId="166" formatCode="&quot;$&quot;\ #,##0"/>
    <numFmt numFmtId="167" formatCode="_(* #,##0.00_);_(* \(#,##0.00\);_(* \-??_);_(@_)"/>
    <numFmt numFmtId="168" formatCode="_(* #,##0.0_);_(* \(#,##0.0\);_(* &quot;-&quot;??_);_(@_)"/>
    <numFmt numFmtId="169" formatCode="&quot;$&quot;\ #,##0.00"/>
    <numFmt numFmtId="170" formatCode="0.0%"/>
    <numFmt numFmtId="171" formatCode="#,##0.00\ \ "/>
    <numFmt numFmtId="172" formatCode="_(&quot;$&quot;* #,##0_);_(&quot;$&quot;* \(#,##0\);_(&quot;$&quot;* &quot;-&quot;??_);_(@_)"/>
    <numFmt numFmtId="173" formatCode="_-&quot;$ &quot;* #,##0_-;&quot;-$ &quot;* #,##0_-;_-&quot;$ &quot;* \-??_-;_-@_-"/>
    <numFmt numFmtId="174" formatCode="_-[$$-240A]* #,##0_-;\-[$$-240A]* #,##0_-;_-[$$-240A]* &quot;-&quot;??_-;_-@_-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ptos Narrow"/>
      <family val="2"/>
      <scheme val="minor"/>
    </font>
    <font>
      <b/>
      <sz val="20"/>
      <name val="Aptos Narrow"/>
      <family val="2"/>
      <scheme val="minor"/>
    </font>
    <font>
      <b/>
      <sz val="18"/>
      <name val="Aptos Narrow"/>
      <family val="2"/>
      <scheme val="minor"/>
    </font>
    <font>
      <sz val="11"/>
      <color rgb="FF000000"/>
      <name val="Calibri"/>
      <family val="2"/>
    </font>
    <font>
      <b/>
      <sz val="18"/>
      <name val="Arial"/>
      <family val="2"/>
    </font>
    <font>
      <sz val="22"/>
      <name val="Aptos Narrow"/>
      <family val="2"/>
      <scheme val="minor"/>
    </font>
    <font>
      <b/>
      <sz val="24"/>
      <name val="Aptos Narrow"/>
      <family val="2"/>
      <scheme val="minor"/>
    </font>
    <font>
      <b/>
      <sz val="22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8"/>
      <color rgb="FFC00000"/>
      <name val="Aptos Narrow"/>
      <family val="2"/>
      <scheme val="minor"/>
    </font>
    <font>
      <sz val="18"/>
      <name val="Arial"/>
      <family val="2"/>
    </font>
    <font>
      <sz val="16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name val="Aptos Narrow"/>
      <family val="2"/>
      <scheme val="minor"/>
    </font>
    <font>
      <sz val="10"/>
      <name val="Arial"/>
      <family val="2"/>
      <charset val="1"/>
    </font>
    <font>
      <sz val="20"/>
      <name val="Calibri"/>
      <family val="2"/>
      <charset val="1"/>
    </font>
    <font>
      <sz val="18"/>
      <name val="Aptos Narrow"/>
      <family val="2"/>
      <scheme val="minor"/>
    </font>
    <font>
      <sz val="20"/>
      <name val="Aptos Narrow"/>
      <family val="2"/>
      <scheme val="minor"/>
    </font>
    <font>
      <sz val="24"/>
      <name val="Aptos Narrow"/>
      <family val="2"/>
      <scheme val="minor"/>
    </font>
    <font>
      <sz val="26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24"/>
      <color rgb="FFFF0000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0" fontId="6" fillId="0" borderId="0"/>
    <xf numFmtId="43" fontId="1" fillId="0" borderId="0" applyFont="0" applyFill="0" applyBorder="0" applyAlignment="0" applyProtection="0"/>
    <xf numFmtId="165" fontId="12" fillId="0" borderId="0" applyBorder="0" applyProtection="0"/>
    <xf numFmtId="167" fontId="12" fillId="0" borderId="0" applyBorder="0" applyProtection="0"/>
    <xf numFmtId="0" fontId="18" fillId="0" borderId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2" fillId="0" borderId="0"/>
  </cellStyleXfs>
  <cellXfs count="302">
    <xf numFmtId="0" fontId="0" fillId="0" borderId="0" xfId="0"/>
    <xf numFmtId="0" fontId="3" fillId="2" borderId="0" xfId="1" applyFont="1" applyFill="1" applyAlignment="1">
      <alignment vertical="center"/>
    </xf>
    <xf numFmtId="0" fontId="6" fillId="2" borderId="0" xfId="2" applyFill="1"/>
    <xf numFmtId="0" fontId="3" fillId="2" borderId="0" xfId="1" applyFont="1" applyFill="1" applyAlignment="1">
      <alignment horizontal="center" vertical="center"/>
    </xf>
    <xf numFmtId="164" fontId="3" fillId="2" borderId="0" xfId="3" applyNumberFormat="1" applyFont="1" applyFill="1" applyAlignment="1">
      <alignment horizontal="center" vertical="center"/>
    </xf>
    <xf numFmtId="0" fontId="8" fillId="2" borderId="0" xfId="1" applyFont="1" applyFill="1" applyAlignment="1">
      <alignment vertical="center"/>
    </xf>
    <xf numFmtId="0" fontId="9" fillId="2" borderId="0" xfId="1" applyFont="1" applyFill="1" applyAlignment="1">
      <alignment horizontal="right" vertical="center"/>
    </xf>
    <xf numFmtId="164" fontId="8" fillId="2" borderId="0" xfId="3" applyNumberFormat="1" applyFont="1" applyFill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11" fillId="2" borderId="0" xfId="1" applyFont="1" applyFill="1" applyAlignment="1">
      <alignment horizontal="left" vertical="center"/>
    </xf>
    <xf numFmtId="166" fontId="11" fillId="2" borderId="0" xfId="4" applyNumberFormat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164" fontId="5" fillId="2" borderId="0" xfId="3" applyNumberFormat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7" fillId="3" borderId="19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 wrapText="1"/>
    </xf>
    <xf numFmtId="0" fontId="7" fillId="3" borderId="21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 wrapText="1"/>
    </xf>
    <xf numFmtId="164" fontId="7" fillId="3" borderId="23" xfId="3" applyNumberFormat="1" applyFont="1" applyFill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 wrapText="1"/>
    </xf>
    <xf numFmtId="0" fontId="7" fillId="3" borderId="23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vertical="center"/>
    </xf>
    <xf numFmtId="0" fontId="16" fillId="4" borderId="26" xfId="1" applyFont="1" applyFill="1" applyBorder="1" applyAlignment="1" applyProtection="1">
      <alignment horizontal="center" vertical="center" wrapText="1"/>
      <protection locked="0"/>
    </xf>
    <xf numFmtId="0" fontId="16" fillId="4" borderId="30" xfId="1" applyFont="1" applyFill="1" applyBorder="1" applyAlignment="1">
      <alignment horizontal="center" vertical="center" wrapText="1"/>
    </xf>
    <xf numFmtId="168" fontId="16" fillId="4" borderId="31" xfId="5" applyNumberFormat="1" applyFont="1" applyFill="1" applyBorder="1" applyAlignment="1" applyProtection="1">
      <alignment horizontal="center" vertical="center" wrapText="1"/>
      <protection locked="0"/>
    </xf>
    <xf numFmtId="164" fontId="16" fillId="4" borderId="8" xfId="3" applyNumberFormat="1" applyFont="1" applyFill="1" applyBorder="1" applyAlignment="1">
      <alignment horizontal="center" vertical="center" wrapText="1"/>
    </xf>
    <xf numFmtId="166" fontId="16" fillId="4" borderId="32" xfId="4" applyNumberFormat="1" applyFont="1" applyFill="1" applyBorder="1" applyAlignment="1">
      <alignment horizontal="right" vertical="center" wrapText="1"/>
    </xf>
    <xf numFmtId="166" fontId="16" fillId="4" borderId="33" xfId="4" applyNumberFormat="1" applyFont="1" applyFill="1" applyBorder="1" applyAlignment="1">
      <alignment horizontal="right" vertical="center"/>
    </xf>
    <xf numFmtId="166" fontId="16" fillId="4" borderId="34" xfId="4" applyNumberFormat="1" applyFont="1" applyFill="1" applyBorder="1" applyAlignment="1">
      <alignment horizontal="right" vertical="center" wrapText="1"/>
    </xf>
    <xf numFmtId="165" fontId="16" fillId="4" borderId="35" xfId="4" applyFont="1" applyFill="1" applyBorder="1" applyAlignment="1" applyProtection="1">
      <alignment horizontal="center" vertical="center" wrapText="1"/>
      <protection locked="0"/>
    </xf>
    <xf numFmtId="166" fontId="16" fillId="4" borderId="0" xfId="4" applyNumberFormat="1" applyFont="1" applyFill="1" applyBorder="1" applyAlignment="1">
      <alignment vertical="center"/>
    </xf>
    <xf numFmtId="166" fontId="16" fillId="4" borderId="36" xfId="4" applyNumberFormat="1" applyFont="1" applyFill="1" applyBorder="1" applyAlignment="1">
      <alignment horizontal="right" vertical="center"/>
    </xf>
    <xf numFmtId="166" fontId="16" fillId="4" borderId="7" xfId="4" applyNumberFormat="1" applyFont="1" applyFill="1" applyBorder="1" applyAlignment="1">
      <alignment vertical="center"/>
    </xf>
    <xf numFmtId="166" fontId="16" fillId="4" borderId="37" xfId="4" applyNumberFormat="1" applyFont="1" applyFill="1" applyBorder="1" applyAlignment="1">
      <alignment vertical="center"/>
    </xf>
    <xf numFmtId="0" fontId="15" fillId="2" borderId="38" xfId="1" applyFont="1" applyFill="1" applyBorder="1" applyAlignment="1">
      <alignment vertical="center"/>
    </xf>
    <xf numFmtId="0" fontId="15" fillId="2" borderId="39" xfId="1" applyFont="1" applyFill="1" applyBorder="1" applyAlignment="1">
      <alignment vertical="center"/>
    </xf>
    <xf numFmtId="0" fontId="17" fillId="0" borderId="0" xfId="1" applyFont="1" applyAlignment="1">
      <alignment vertical="center"/>
    </xf>
    <xf numFmtId="0" fontId="17" fillId="5" borderId="40" xfId="1" applyFont="1" applyFill="1" applyBorder="1" applyAlignment="1" applyProtection="1">
      <alignment horizontal="center" vertical="center" wrapText="1"/>
      <protection locked="0"/>
    </xf>
    <xf numFmtId="0" fontId="17" fillId="5" borderId="9" xfId="1" applyFont="1" applyFill="1" applyBorder="1" applyAlignment="1">
      <alignment horizontal="left" vertical="center" wrapText="1"/>
    </xf>
    <xf numFmtId="0" fontId="17" fillId="5" borderId="4" xfId="1" applyFont="1" applyFill="1" applyBorder="1" applyAlignment="1">
      <alignment horizontal="left" vertical="center" wrapText="1"/>
    </xf>
    <xf numFmtId="166" fontId="17" fillId="5" borderId="25" xfId="4" applyNumberFormat="1" applyFont="1" applyFill="1" applyBorder="1" applyAlignment="1">
      <alignment horizontal="right" vertical="center"/>
    </xf>
    <xf numFmtId="2" fontId="17" fillId="5" borderId="42" xfId="3" applyNumberFormat="1" applyFont="1" applyFill="1" applyBorder="1" applyAlignment="1">
      <alignment horizontal="center" vertical="center"/>
    </xf>
    <xf numFmtId="2" fontId="17" fillId="5" borderId="5" xfId="3" applyNumberFormat="1" applyFont="1" applyFill="1" applyBorder="1" applyAlignment="1">
      <alignment horizontal="center" vertical="center"/>
    </xf>
    <xf numFmtId="166" fontId="17" fillId="5" borderId="5" xfId="4" applyNumberFormat="1" applyFont="1" applyFill="1" applyBorder="1" applyAlignment="1">
      <alignment horizontal="right" vertical="center" wrapText="1"/>
    </xf>
    <xf numFmtId="166" fontId="17" fillId="5" borderId="43" xfId="4" applyNumberFormat="1" applyFont="1" applyFill="1" applyBorder="1" applyAlignment="1">
      <alignment horizontal="right" vertical="center" wrapText="1"/>
    </xf>
    <xf numFmtId="166" fontId="17" fillId="5" borderId="44" xfId="4" applyNumberFormat="1" applyFont="1" applyFill="1" applyBorder="1" applyAlignment="1">
      <alignment horizontal="right" vertical="center" wrapText="1"/>
    </xf>
    <xf numFmtId="166" fontId="17" fillId="5" borderId="45" xfId="4" applyNumberFormat="1" applyFont="1" applyFill="1" applyBorder="1" applyAlignment="1">
      <alignment vertical="center"/>
    </xf>
    <xf numFmtId="166" fontId="15" fillId="5" borderId="46" xfId="4" applyNumberFormat="1" applyFont="1" applyFill="1" applyBorder="1" applyAlignment="1">
      <alignment vertical="center"/>
    </xf>
    <xf numFmtId="166" fontId="15" fillId="5" borderId="31" xfId="4" applyNumberFormat="1" applyFont="1" applyFill="1" applyBorder="1" applyAlignment="1">
      <alignment horizontal="right" vertical="center"/>
    </xf>
    <xf numFmtId="0" fontId="17" fillId="2" borderId="0" xfId="1" applyFont="1" applyFill="1" applyAlignment="1">
      <alignment vertical="center"/>
    </xf>
    <xf numFmtId="2" fontId="15" fillId="2" borderId="38" xfId="1" applyNumberFormat="1" applyFont="1" applyFill="1" applyBorder="1" applyAlignment="1">
      <alignment vertical="center"/>
    </xf>
    <xf numFmtId="166" fontId="17" fillId="2" borderId="0" xfId="1" applyNumberFormat="1" applyFont="1" applyFill="1" applyAlignment="1">
      <alignment vertical="center"/>
    </xf>
    <xf numFmtId="0" fontId="17" fillId="2" borderId="39" xfId="1" applyFont="1" applyFill="1" applyBorder="1" applyAlignment="1">
      <alignment vertical="center"/>
    </xf>
    <xf numFmtId="0" fontId="15" fillId="2" borderId="40" xfId="1" applyFont="1" applyFill="1" applyBorder="1" applyAlignment="1" applyProtection="1">
      <alignment horizontal="center" vertical="center" wrapText="1"/>
      <protection locked="0"/>
    </xf>
    <xf numFmtId="0" fontId="15" fillId="2" borderId="4" xfId="1" applyFont="1" applyFill="1" applyBorder="1" applyAlignment="1">
      <alignment horizontal="center" vertical="center" wrapText="1"/>
    </xf>
    <xf numFmtId="0" fontId="19" fillId="6" borderId="25" xfId="6" applyFont="1" applyFill="1" applyBorder="1" applyAlignment="1">
      <alignment horizontal="center" vertical="center" wrapText="1"/>
    </xf>
    <xf numFmtId="49" fontId="19" fillId="6" borderId="42" xfId="5" applyNumberFormat="1" applyFont="1" applyFill="1" applyBorder="1" applyAlignment="1" applyProtection="1">
      <alignment horizontal="center" vertical="center"/>
      <protection locked="0"/>
    </xf>
    <xf numFmtId="2" fontId="15" fillId="0" borderId="5" xfId="3" applyNumberFormat="1" applyFont="1" applyBorder="1" applyAlignment="1">
      <alignment horizontal="center" vertical="center" wrapText="1"/>
    </xf>
    <xf numFmtId="166" fontId="15" fillId="0" borderId="25" xfId="4" applyNumberFormat="1" applyFont="1" applyBorder="1" applyAlignment="1">
      <alignment vertical="center" wrapText="1"/>
    </xf>
    <xf numFmtId="166" fontId="15" fillId="0" borderId="42" xfId="4" applyNumberFormat="1" applyFont="1" applyBorder="1" applyAlignment="1">
      <alignment vertical="center" wrapText="1"/>
    </xf>
    <xf numFmtId="166" fontId="15" fillId="0" borderId="34" xfId="4" applyNumberFormat="1" applyFont="1" applyBorder="1" applyAlignment="1">
      <alignment horizontal="right" vertical="center" wrapText="1"/>
    </xf>
    <xf numFmtId="43" fontId="15" fillId="2" borderId="33" xfId="4" applyNumberFormat="1" applyFont="1" applyFill="1" applyBorder="1" applyAlignment="1">
      <alignment horizontal="right" vertical="center"/>
    </xf>
    <xf numFmtId="166" fontId="15" fillId="2" borderId="44" xfId="4" applyNumberFormat="1" applyFont="1" applyFill="1" applyBorder="1" applyAlignment="1">
      <alignment vertical="center"/>
    </xf>
    <xf numFmtId="166" fontId="15" fillId="2" borderId="25" xfId="4" applyNumberFormat="1" applyFont="1" applyFill="1" applyBorder="1" applyAlignment="1">
      <alignment vertical="center"/>
    </xf>
    <xf numFmtId="166" fontId="15" fillId="2" borderId="42" xfId="4" applyNumberFormat="1" applyFont="1" applyFill="1" applyBorder="1" applyAlignment="1">
      <alignment vertical="center"/>
    </xf>
    <xf numFmtId="166" fontId="15" fillId="2" borderId="47" xfId="4" applyNumberFormat="1" applyFont="1" applyFill="1" applyBorder="1" applyAlignment="1">
      <alignment vertical="center"/>
    </xf>
    <xf numFmtId="2" fontId="15" fillId="2" borderId="38" xfId="1" applyNumberFormat="1" applyFont="1" applyFill="1" applyBorder="1" applyAlignment="1">
      <alignment horizontal="center" vertical="center"/>
    </xf>
    <xf numFmtId="165" fontId="17" fillId="2" borderId="0" xfId="4" applyFont="1" applyFill="1" applyBorder="1" applyAlignment="1">
      <alignment horizontal="center" vertical="center"/>
    </xf>
    <xf numFmtId="169" fontId="15" fillId="2" borderId="39" xfId="1" applyNumberFormat="1" applyFont="1" applyFill="1" applyBorder="1" applyAlignment="1">
      <alignment horizontal="center" vertical="center"/>
    </xf>
    <xf numFmtId="0" fontId="15" fillId="2" borderId="48" xfId="1" applyFont="1" applyFill="1" applyBorder="1" applyAlignment="1" applyProtection="1">
      <alignment horizontal="center" vertical="center" wrapText="1"/>
      <protection locked="0"/>
    </xf>
    <xf numFmtId="0" fontId="15" fillId="2" borderId="0" xfId="1" applyFont="1" applyFill="1" applyAlignment="1">
      <alignment horizontal="center" vertical="center" wrapText="1"/>
    </xf>
    <xf numFmtId="49" fontId="19" fillId="6" borderId="49" xfId="5" applyNumberFormat="1" applyFont="1" applyFill="1" applyBorder="1" applyAlignment="1" applyProtection="1">
      <alignment horizontal="center" vertical="center"/>
      <protection locked="0"/>
    </xf>
    <xf numFmtId="49" fontId="17" fillId="5" borderId="42" xfId="3" applyNumberFormat="1" applyFont="1" applyFill="1" applyBorder="1" applyAlignment="1">
      <alignment horizontal="center" vertical="center"/>
    </xf>
    <xf numFmtId="166" fontId="17" fillId="5" borderId="44" xfId="4" applyNumberFormat="1" applyFont="1" applyFill="1" applyBorder="1" applyAlignment="1">
      <alignment vertical="center"/>
    </xf>
    <xf numFmtId="166" fontId="15" fillId="5" borderId="25" xfId="4" applyNumberFormat="1" applyFont="1" applyFill="1" applyBorder="1" applyAlignment="1">
      <alignment vertical="center"/>
    </xf>
    <xf numFmtId="166" fontId="15" fillId="5" borderId="42" xfId="4" applyNumberFormat="1" applyFont="1" applyFill="1" applyBorder="1" applyAlignment="1">
      <alignment horizontal="right" vertical="center"/>
    </xf>
    <xf numFmtId="0" fontId="15" fillId="2" borderId="50" xfId="1" applyFont="1" applyFill="1" applyBorder="1" applyAlignment="1" applyProtection="1">
      <alignment horizontal="center" vertical="center" wrapText="1"/>
      <protection locked="0"/>
    </xf>
    <xf numFmtId="0" fontId="15" fillId="2" borderId="10" xfId="1" applyFont="1" applyFill="1" applyBorder="1" applyAlignment="1">
      <alignment horizontal="center" vertical="center" wrapText="1"/>
    </xf>
    <xf numFmtId="0" fontId="19" fillId="6" borderId="51" xfId="6" applyFont="1" applyFill="1" applyBorder="1" applyAlignment="1">
      <alignment horizontal="center" vertical="center" wrapText="1"/>
    </xf>
    <xf numFmtId="49" fontId="19" fillId="6" borderId="52" xfId="5" applyNumberFormat="1" applyFont="1" applyFill="1" applyBorder="1" applyAlignment="1" applyProtection="1">
      <alignment horizontal="center" vertical="center"/>
      <protection locked="0"/>
    </xf>
    <xf numFmtId="166" fontId="15" fillId="2" borderId="53" xfId="4" applyNumberFormat="1" applyFont="1" applyFill="1" applyBorder="1" applyAlignment="1">
      <alignment vertical="center"/>
    </xf>
    <xf numFmtId="166" fontId="15" fillId="2" borderId="54" xfId="4" applyNumberFormat="1" applyFont="1" applyFill="1" applyBorder="1" applyAlignment="1">
      <alignment vertical="center"/>
    </xf>
    <xf numFmtId="166" fontId="15" fillId="2" borderId="55" xfId="4" applyNumberFormat="1" applyFont="1" applyFill="1" applyBorder="1" applyAlignment="1">
      <alignment vertical="center"/>
    </xf>
    <xf numFmtId="165" fontId="5" fillId="0" borderId="56" xfId="4" applyFont="1" applyBorder="1" applyAlignment="1">
      <alignment vertical="center"/>
    </xf>
    <xf numFmtId="164" fontId="5" fillId="0" borderId="45" xfId="3" applyNumberFormat="1" applyFont="1" applyBorder="1" applyAlignment="1">
      <alignment horizontal="center" vertical="center"/>
    </xf>
    <xf numFmtId="168" fontId="5" fillId="0" borderId="29" xfId="4" applyNumberFormat="1" applyFont="1" applyBorder="1" applyAlignment="1">
      <alignment horizontal="center" vertical="center"/>
    </xf>
    <xf numFmtId="166" fontId="5" fillId="0" borderId="31" xfId="7" applyNumberFormat="1" applyFont="1" applyFill="1" applyBorder="1" applyAlignment="1">
      <alignment vertical="center"/>
    </xf>
    <xf numFmtId="168" fontId="5" fillId="0" borderId="45" xfId="4" applyNumberFormat="1" applyFont="1" applyBorder="1" applyAlignment="1">
      <alignment horizontal="center" vertical="center"/>
    </xf>
    <xf numFmtId="5" fontId="5" fillId="0" borderId="15" xfId="7" applyNumberFormat="1" applyFont="1" applyFill="1" applyBorder="1" applyAlignment="1">
      <alignment vertical="center"/>
    </xf>
    <xf numFmtId="5" fontId="5" fillId="0" borderId="46" xfId="7" applyNumberFormat="1" applyFont="1" applyFill="1" applyBorder="1" applyAlignment="1">
      <alignment vertical="center"/>
    </xf>
    <xf numFmtId="5" fontId="5" fillId="0" borderId="57" xfId="7" applyNumberFormat="1" applyFont="1" applyFill="1" applyBorder="1" applyAlignment="1">
      <alignment vertical="center"/>
    </xf>
    <xf numFmtId="5" fontId="5" fillId="0" borderId="30" xfId="7" applyNumberFormat="1" applyFont="1" applyFill="1" applyBorder="1" applyAlignment="1">
      <alignment vertical="center"/>
    </xf>
    <xf numFmtId="5" fontId="5" fillId="0" borderId="14" xfId="7" applyNumberFormat="1" applyFont="1" applyFill="1" applyBorder="1" applyAlignment="1">
      <alignment vertical="center"/>
    </xf>
    <xf numFmtId="169" fontId="15" fillId="2" borderId="39" xfId="1" applyNumberFormat="1" applyFont="1" applyFill="1" applyBorder="1" applyAlignment="1">
      <alignment vertical="center"/>
    </xf>
    <xf numFmtId="170" fontId="20" fillId="0" borderId="43" xfId="8" applyNumberFormat="1" applyFont="1" applyFill="1" applyBorder="1" applyAlignment="1">
      <alignment vertical="center"/>
    </xf>
    <xf numFmtId="164" fontId="20" fillId="0" borderId="44" xfId="3" applyNumberFormat="1" applyFont="1" applyBorder="1" applyAlignment="1">
      <alignment horizontal="center" vertical="center"/>
    </xf>
    <xf numFmtId="170" fontId="20" fillId="0" borderId="9" xfId="8" applyNumberFormat="1" applyFont="1" applyFill="1" applyBorder="1" applyAlignment="1">
      <alignment horizontal="center" vertical="center"/>
    </xf>
    <xf numFmtId="42" fontId="20" fillId="0" borderId="42" xfId="7" applyFont="1" applyFill="1" applyBorder="1" applyAlignment="1">
      <alignment vertical="center"/>
    </xf>
    <xf numFmtId="170" fontId="20" fillId="0" borderId="41" xfId="8" applyNumberFormat="1" applyFont="1" applyFill="1" applyBorder="1" applyAlignment="1">
      <alignment horizontal="center" vertical="center"/>
    </xf>
    <xf numFmtId="5" fontId="20" fillId="0" borderId="42" xfId="7" applyNumberFormat="1" applyFont="1" applyFill="1" applyBorder="1" applyAlignment="1">
      <alignment vertical="center"/>
    </xf>
    <xf numFmtId="170" fontId="20" fillId="0" borderId="2" xfId="8" applyNumberFormat="1" applyFont="1" applyFill="1" applyBorder="1" applyAlignment="1">
      <alignment vertical="center"/>
    </xf>
    <xf numFmtId="170" fontId="20" fillId="0" borderId="1" xfId="8" applyNumberFormat="1" applyFont="1" applyFill="1" applyBorder="1" applyAlignment="1">
      <alignment vertical="center"/>
    </xf>
    <xf numFmtId="5" fontId="20" fillId="0" borderId="58" xfId="7" applyNumberFormat="1" applyFont="1" applyFill="1" applyBorder="1" applyAlignment="1">
      <alignment vertical="center"/>
    </xf>
    <xf numFmtId="170" fontId="20" fillId="0" borderId="59" xfId="8" applyNumberFormat="1" applyFont="1" applyFill="1" applyBorder="1" applyAlignment="1">
      <alignment vertical="center"/>
    </xf>
    <xf numFmtId="0" fontId="3" fillId="2" borderId="39" xfId="1" applyFont="1" applyFill="1" applyBorder="1" applyAlignment="1">
      <alignment vertical="center"/>
    </xf>
    <xf numFmtId="170" fontId="20" fillId="0" borderId="60" xfId="8" applyNumberFormat="1" applyFont="1" applyFill="1" applyBorder="1" applyAlignment="1">
      <alignment vertical="center"/>
    </xf>
    <xf numFmtId="164" fontId="20" fillId="0" borderId="61" xfId="3" applyNumberFormat="1" applyFont="1" applyBorder="1" applyAlignment="1">
      <alignment horizontal="center" vertical="center"/>
    </xf>
    <xf numFmtId="170" fontId="20" fillId="0" borderId="2" xfId="8" applyNumberFormat="1" applyFont="1" applyFill="1" applyBorder="1" applyAlignment="1">
      <alignment horizontal="center" vertical="center"/>
    </xf>
    <xf numFmtId="42" fontId="20" fillId="0" borderId="58" xfId="7" applyFont="1" applyFill="1" applyBorder="1" applyAlignment="1">
      <alignment vertical="center"/>
    </xf>
    <xf numFmtId="170" fontId="20" fillId="0" borderId="59" xfId="8" applyNumberFormat="1" applyFont="1" applyFill="1" applyBorder="1" applyAlignment="1">
      <alignment horizontal="center" vertical="center"/>
    </xf>
    <xf numFmtId="2" fontId="20" fillId="0" borderId="2" xfId="8" applyNumberFormat="1" applyFont="1" applyFill="1" applyBorder="1" applyAlignment="1">
      <alignment horizontal="center" vertical="center"/>
    </xf>
    <xf numFmtId="9" fontId="20" fillId="0" borderId="58" xfId="8" applyFont="1" applyFill="1" applyBorder="1" applyAlignment="1">
      <alignment vertical="center"/>
    </xf>
    <xf numFmtId="0" fontId="20" fillId="2" borderId="38" xfId="1" applyFont="1" applyFill="1" applyBorder="1" applyAlignment="1">
      <alignment vertical="center"/>
    </xf>
    <xf numFmtId="172" fontId="21" fillId="2" borderId="0" xfId="4" applyNumberFormat="1" applyFont="1" applyFill="1" applyBorder="1" applyAlignment="1">
      <alignment vertical="center"/>
    </xf>
    <xf numFmtId="172" fontId="22" fillId="2" borderId="39" xfId="4" applyNumberFormat="1" applyFont="1" applyFill="1" applyBorder="1" applyAlignment="1">
      <alignment vertical="center"/>
    </xf>
    <xf numFmtId="172" fontId="21" fillId="2" borderId="39" xfId="4" applyNumberFormat="1" applyFont="1" applyFill="1" applyBorder="1" applyAlignment="1">
      <alignment vertical="center"/>
    </xf>
    <xf numFmtId="0" fontId="3" fillId="2" borderId="38" xfId="1" applyFont="1" applyFill="1" applyBorder="1" applyAlignment="1">
      <alignment vertical="center"/>
    </xf>
    <xf numFmtId="164" fontId="20" fillId="0" borderId="55" xfId="3" applyNumberFormat="1" applyFont="1" applyBorder="1" applyAlignment="1">
      <alignment horizontal="center" vertical="center"/>
    </xf>
    <xf numFmtId="170" fontId="20" fillId="0" borderId="63" xfId="8" applyNumberFormat="1" applyFont="1" applyFill="1" applyBorder="1" applyAlignment="1">
      <alignment vertical="center"/>
    </xf>
    <xf numFmtId="5" fontId="20" fillId="0" borderId="54" xfId="7" applyNumberFormat="1" applyFont="1" applyFill="1" applyBorder="1" applyAlignment="1">
      <alignment vertical="center"/>
    </xf>
    <xf numFmtId="170" fontId="20" fillId="0" borderId="62" xfId="8" applyNumberFormat="1" applyFont="1" applyFill="1" applyBorder="1" applyAlignment="1">
      <alignment horizontal="center" vertical="center"/>
    </xf>
    <xf numFmtId="172" fontId="3" fillId="2" borderId="39" xfId="1" applyNumberFormat="1" applyFont="1" applyFill="1" applyBorder="1" applyAlignment="1">
      <alignment vertical="center"/>
    </xf>
    <xf numFmtId="0" fontId="8" fillId="0" borderId="0" xfId="1" applyFont="1" applyAlignment="1">
      <alignment vertical="center"/>
    </xf>
    <xf numFmtId="164" fontId="8" fillId="0" borderId="20" xfId="3" applyNumberFormat="1" applyFont="1" applyBorder="1" applyAlignment="1">
      <alignment horizontal="center" vertical="center"/>
    </xf>
    <xf numFmtId="168" fontId="8" fillId="0" borderId="12" xfId="4" applyNumberFormat="1" applyFont="1" applyBorder="1" applyAlignment="1">
      <alignment horizontal="center" vertical="center"/>
    </xf>
    <xf numFmtId="5" fontId="10" fillId="0" borderId="21" xfId="7" applyNumberFormat="1" applyFont="1" applyFill="1" applyBorder="1" applyAlignment="1">
      <alignment vertical="center"/>
    </xf>
    <xf numFmtId="168" fontId="8" fillId="0" borderId="11" xfId="4" applyNumberFormat="1" applyFont="1" applyBorder="1" applyAlignment="1">
      <alignment horizontal="center" vertical="center"/>
    </xf>
    <xf numFmtId="165" fontId="10" fillId="0" borderId="22" xfId="7" applyNumberFormat="1" applyFont="1" applyFill="1" applyBorder="1" applyAlignment="1">
      <alignment vertical="center"/>
    </xf>
    <xf numFmtId="5" fontId="10" fillId="0" borderId="22" xfId="7" applyNumberFormat="1" applyFont="1" applyFill="1" applyBorder="1" applyAlignment="1">
      <alignment vertical="center"/>
    </xf>
    <xf numFmtId="5" fontId="10" fillId="0" borderId="11" xfId="7" applyNumberFormat="1" applyFont="1" applyFill="1" applyBorder="1" applyAlignment="1">
      <alignment vertical="center"/>
    </xf>
    <xf numFmtId="5" fontId="10" fillId="0" borderId="12" xfId="7" applyNumberFormat="1" applyFont="1" applyFill="1" applyBorder="1" applyAlignment="1">
      <alignment vertical="center"/>
    </xf>
    <xf numFmtId="0" fontId="8" fillId="2" borderId="38" xfId="1" applyFont="1" applyFill="1" applyBorder="1" applyAlignment="1">
      <alignment vertical="center"/>
    </xf>
    <xf numFmtId="5" fontId="8" fillId="2" borderId="39" xfId="1" applyNumberFormat="1" applyFont="1" applyFill="1" applyBorder="1" applyAlignment="1">
      <alignment vertical="center"/>
    </xf>
    <xf numFmtId="0" fontId="23" fillId="0" borderId="0" xfId="1" applyFont="1" applyAlignment="1">
      <alignment vertical="center"/>
    </xf>
    <xf numFmtId="0" fontId="23" fillId="2" borderId="0" xfId="1" applyFont="1" applyFill="1" applyAlignment="1">
      <alignment vertical="center"/>
    </xf>
    <xf numFmtId="0" fontId="23" fillId="2" borderId="38" xfId="1" applyFont="1" applyFill="1" applyBorder="1" applyAlignment="1">
      <alignment vertical="center"/>
    </xf>
    <xf numFmtId="5" fontId="23" fillId="2" borderId="39" xfId="1" applyNumberFormat="1" applyFont="1" applyFill="1" applyBorder="1" applyAlignment="1">
      <alignment vertical="center"/>
    </xf>
    <xf numFmtId="0" fontId="25" fillId="2" borderId="0" xfId="2" applyFont="1" applyFill="1"/>
    <xf numFmtId="171" fontId="26" fillId="2" borderId="0" xfId="1" applyNumberFormat="1" applyFont="1" applyFill="1" applyAlignment="1">
      <alignment horizontal="center" vertical="center"/>
    </xf>
    <xf numFmtId="164" fontId="27" fillId="2" borderId="0" xfId="3" applyNumberFormat="1" applyFont="1" applyFill="1" applyBorder="1" applyAlignment="1">
      <alignment horizontal="center" vertical="center"/>
    </xf>
    <xf numFmtId="168" fontId="27" fillId="2" borderId="0" xfId="4" applyNumberFormat="1" applyFont="1" applyFill="1" applyBorder="1" applyAlignment="1">
      <alignment horizontal="center" vertical="center"/>
    </xf>
    <xf numFmtId="42" fontId="26" fillId="2" borderId="0" xfId="7" applyFont="1" applyFill="1" applyBorder="1" applyAlignment="1">
      <alignment vertical="center"/>
    </xf>
    <xf numFmtId="168" fontId="28" fillId="2" borderId="0" xfId="4" applyNumberFormat="1" applyFont="1" applyFill="1" applyBorder="1" applyAlignment="1">
      <alignment horizontal="center" vertical="center"/>
    </xf>
    <xf numFmtId="5" fontId="29" fillId="2" borderId="0" xfId="7" applyNumberFormat="1" applyFont="1" applyFill="1" applyBorder="1" applyAlignment="1">
      <alignment vertical="center"/>
    </xf>
    <xf numFmtId="169" fontId="26" fillId="2" borderId="0" xfId="4" applyNumberFormat="1" applyFont="1" applyFill="1" applyBorder="1" applyAlignment="1">
      <alignment horizontal="center" vertical="center"/>
    </xf>
    <xf numFmtId="169" fontId="9" fillId="2" borderId="0" xfId="4" applyNumberFormat="1" applyFont="1" applyFill="1" applyBorder="1" applyAlignment="1">
      <alignment horizontal="center" vertical="center"/>
    </xf>
    <xf numFmtId="166" fontId="29" fillId="2" borderId="0" xfId="4" applyNumberFormat="1" applyFont="1" applyFill="1" applyBorder="1" applyAlignment="1">
      <alignment horizontal="center" vertical="center"/>
    </xf>
    <xf numFmtId="169" fontId="29" fillId="2" borderId="0" xfId="4" applyNumberFormat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vertical="center"/>
    </xf>
    <xf numFmtId="0" fontId="8" fillId="2" borderId="7" xfId="1" applyFont="1" applyFill="1" applyBorder="1" applyAlignment="1">
      <alignment vertical="center"/>
    </xf>
    <xf numFmtId="5" fontId="8" fillId="2" borderId="8" xfId="1" applyNumberFormat="1" applyFont="1" applyFill="1" applyBorder="1" applyAlignment="1">
      <alignment vertical="center"/>
    </xf>
    <xf numFmtId="42" fontId="8" fillId="2" borderId="0" xfId="1" applyNumberFormat="1" applyFont="1" applyFill="1" applyAlignment="1">
      <alignment vertical="center"/>
    </xf>
    <xf numFmtId="14" fontId="29" fillId="2" borderId="0" xfId="1" applyNumberFormat="1" applyFont="1" applyFill="1" applyAlignment="1">
      <alignment horizontal="center" vertical="center"/>
    </xf>
    <xf numFmtId="2" fontId="29" fillId="2" borderId="0" xfId="1" applyNumberFormat="1" applyFont="1" applyFill="1" applyAlignment="1">
      <alignment horizontal="center" vertical="center"/>
    </xf>
    <xf numFmtId="5" fontId="26" fillId="2" borderId="0" xfId="7" applyNumberFormat="1" applyFont="1" applyFill="1" applyBorder="1" applyAlignment="1">
      <alignment vertical="center"/>
    </xf>
    <xf numFmtId="171" fontId="26" fillId="2" borderId="0" xfId="1" applyNumberFormat="1" applyFont="1" applyFill="1" applyAlignment="1">
      <alignment horizontal="right" vertical="center"/>
    </xf>
    <xf numFmtId="170" fontId="26" fillId="2" borderId="0" xfId="4" applyNumberFormat="1" applyFont="1" applyFill="1" applyBorder="1" applyAlignment="1">
      <alignment vertical="center"/>
    </xf>
    <xf numFmtId="168" fontId="8" fillId="2" borderId="0" xfId="4" applyNumberFormat="1" applyFont="1" applyFill="1" applyBorder="1" applyAlignment="1">
      <alignment horizontal="center" vertical="center"/>
    </xf>
    <xf numFmtId="5" fontId="10" fillId="2" borderId="0" xfId="7" applyNumberFormat="1" applyFont="1" applyFill="1" applyBorder="1" applyAlignment="1">
      <alignment vertical="center"/>
    </xf>
    <xf numFmtId="168" fontId="26" fillId="2" borderId="0" xfId="4" applyNumberFormat="1" applyFont="1" applyFill="1" applyBorder="1" applyAlignment="1">
      <alignment horizontal="right" vertical="center"/>
    </xf>
    <xf numFmtId="174" fontId="20" fillId="2" borderId="0" xfId="9" applyFont="1" applyFill="1" applyAlignment="1">
      <alignment vertical="center" wrapText="1"/>
    </xf>
    <xf numFmtId="0" fontId="30" fillId="2" borderId="0" xfId="2" applyFont="1" applyFill="1"/>
    <xf numFmtId="174" fontId="20" fillId="2" borderId="0" xfId="9" applyFont="1" applyFill="1" applyAlignment="1">
      <alignment horizontal="center" vertical="center"/>
    </xf>
    <xf numFmtId="174" fontId="5" fillId="2" borderId="0" xfId="9" applyFont="1" applyFill="1" applyAlignment="1">
      <alignment horizontal="left" vertical="center" wrapText="1"/>
    </xf>
    <xf numFmtId="0" fontId="20" fillId="2" borderId="0" xfId="1" applyFont="1" applyFill="1" applyAlignment="1">
      <alignment horizontal="left" vertical="center" wrapText="1"/>
    </xf>
    <xf numFmtId="174" fontId="5" fillId="2" borderId="0" xfId="9" applyFont="1" applyFill="1" applyAlignment="1">
      <alignment horizontal="left" vertical="center"/>
    </xf>
    <xf numFmtId="174" fontId="20" fillId="2" borderId="0" xfId="9" applyFont="1" applyFill="1" applyAlignment="1">
      <alignment horizontal="left" vertical="center"/>
    </xf>
    <xf numFmtId="174" fontId="20" fillId="2" borderId="0" xfId="9" applyFont="1" applyFill="1" applyAlignment="1">
      <alignment vertical="center"/>
    </xf>
    <xf numFmtId="0" fontId="20" fillId="2" borderId="0" xfId="1" applyFont="1" applyFill="1" applyAlignment="1">
      <alignment vertical="center"/>
    </xf>
    <xf numFmtId="174" fontId="20" fillId="2" borderId="0" xfId="9" applyFont="1" applyFill="1" applyAlignment="1">
      <alignment horizontal="left" vertical="center" wrapText="1"/>
    </xf>
    <xf numFmtId="0" fontId="31" fillId="2" borderId="0" xfId="1" applyFont="1" applyFill="1" applyAlignment="1">
      <alignment horizontal="center"/>
    </xf>
    <xf numFmtId="0" fontId="2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174" fontId="5" fillId="2" borderId="0" xfId="9" applyFont="1" applyFill="1" applyAlignment="1">
      <alignment vertical="center"/>
    </xf>
    <xf numFmtId="0" fontId="20" fillId="2" borderId="0" xfId="1" applyFont="1" applyFill="1" applyAlignment="1">
      <alignment vertical="center" wrapText="1"/>
    </xf>
    <xf numFmtId="0" fontId="32" fillId="2" borderId="0" xfId="1" applyFont="1" applyFill="1" applyAlignment="1">
      <alignment horizontal="left" vertical="center"/>
    </xf>
    <xf numFmtId="0" fontId="32" fillId="2" borderId="0" xfId="1" applyFont="1" applyFill="1" applyAlignment="1">
      <alignment vertical="center"/>
    </xf>
    <xf numFmtId="0" fontId="32" fillId="2" borderId="0" xfId="1" applyFont="1" applyFill="1" applyAlignment="1">
      <alignment vertical="center" wrapText="1"/>
    </xf>
    <xf numFmtId="173" fontId="8" fillId="2" borderId="39" xfId="1" applyNumberFormat="1" applyFont="1" applyFill="1" applyBorder="1" applyAlignment="1">
      <alignment vertical="center"/>
    </xf>
    <xf numFmtId="0" fontId="30" fillId="2" borderId="7" xfId="2" applyFont="1" applyFill="1" applyBorder="1"/>
    <xf numFmtId="0" fontId="30" fillId="2" borderId="9" xfId="2" applyFont="1" applyFill="1" applyBorder="1"/>
    <xf numFmtId="0" fontId="7" fillId="2" borderId="25" xfId="1" applyFont="1" applyFill="1" applyBorder="1" applyAlignment="1">
      <alignment horizontal="center" vertical="center" wrapText="1"/>
    </xf>
    <xf numFmtId="0" fontId="14" fillId="3" borderId="20" xfId="1" applyFont="1" applyFill="1" applyBorder="1" applyAlignment="1">
      <alignment horizontal="center" vertical="center" wrapText="1"/>
    </xf>
    <xf numFmtId="0" fontId="14" fillId="3" borderId="22" xfId="1" applyFont="1" applyFill="1" applyBorder="1" applyAlignment="1">
      <alignment horizontal="center" vertical="center" wrapText="1"/>
    </xf>
    <xf numFmtId="0" fontId="14" fillId="3" borderId="23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right" vertical="center" wrapText="1"/>
    </xf>
    <xf numFmtId="14" fontId="8" fillId="2" borderId="9" xfId="1" applyNumberFormat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13" fillId="2" borderId="10" xfId="1" applyFont="1" applyFill="1" applyBorder="1" applyAlignment="1">
      <alignment horizontal="left" vertical="center" wrapText="1"/>
    </xf>
    <xf numFmtId="0" fontId="5" fillId="3" borderId="11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right" vertical="center"/>
    </xf>
    <xf numFmtId="14" fontId="8" fillId="2" borderId="7" xfId="1" quotePrefix="1" applyNumberFormat="1" applyFont="1" applyFill="1" applyBorder="1" applyAlignment="1">
      <alignment horizontal="center" vertical="center"/>
    </xf>
    <xf numFmtId="14" fontId="8" fillId="2" borderId="7" xfId="1" applyNumberFormat="1" applyFont="1" applyFill="1" applyBorder="1" applyAlignment="1">
      <alignment horizontal="center" vertical="center"/>
    </xf>
    <xf numFmtId="0" fontId="8" fillId="2" borderId="7" xfId="1" quotePrefix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14" fontId="7" fillId="3" borderId="12" xfId="1" applyNumberFormat="1" applyFont="1" applyFill="1" applyBorder="1" applyAlignment="1">
      <alignment horizontal="center" vertical="center" wrapText="1"/>
    </xf>
    <xf numFmtId="14" fontId="7" fillId="3" borderId="13" xfId="1" applyNumberFormat="1" applyFont="1" applyFill="1" applyBorder="1" applyAlignment="1">
      <alignment horizontal="center" vertical="center" wrapText="1"/>
    </xf>
    <xf numFmtId="14" fontId="7" fillId="3" borderId="11" xfId="1" applyNumberFormat="1" applyFont="1" applyFill="1" applyBorder="1" applyAlignment="1">
      <alignment horizontal="center" vertical="center" wrapText="1"/>
    </xf>
    <xf numFmtId="0" fontId="7" fillId="3" borderId="14" xfId="1" applyFont="1" applyFill="1" applyBorder="1" applyAlignment="1">
      <alignment horizontal="center" vertical="center" wrapText="1"/>
    </xf>
    <xf numFmtId="0" fontId="7" fillId="3" borderId="15" xfId="1" applyFont="1" applyFill="1" applyBorder="1" applyAlignment="1">
      <alignment horizontal="center" vertical="center" wrapText="1"/>
    </xf>
    <xf numFmtId="0" fontId="7" fillId="3" borderId="16" xfId="1" applyFont="1" applyFill="1" applyBorder="1" applyAlignment="1">
      <alignment horizontal="center" vertical="center" wrapText="1"/>
    </xf>
    <xf numFmtId="0" fontId="7" fillId="3" borderId="18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3" borderId="17" xfId="1" applyFont="1" applyFill="1" applyBorder="1" applyAlignment="1">
      <alignment horizontal="center" vertical="center" wrapText="1"/>
    </xf>
    <xf numFmtId="14" fontId="7" fillId="3" borderId="14" xfId="1" applyNumberFormat="1" applyFont="1" applyFill="1" applyBorder="1" applyAlignment="1">
      <alignment horizontal="center" vertical="center" wrapText="1"/>
    </xf>
    <xf numFmtId="14" fontId="7" fillId="3" borderId="15" xfId="1" applyNumberFormat="1" applyFont="1" applyFill="1" applyBorder="1" applyAlignment="1">
      <alignment horizontal="center" vertical="center" wrapText="1"/>
    </xf>
    <xf numFmtId="14" fontId="7" fillId="3" borderId="16" xfId="1" applyNumberFormat="1" applyFont="1" applyFill="1" applyBorder="1" applyAlignment="1">
      <alignment horizontal="center" vertical="center" wrapText="1"/>
    </xf>
    <xf numFmtId="14" fontId="7" fillId="3" borderId="18" xfId="1" applyNumberFormat="1" applyFont="1" applyFill="1" applyBorder="1" applyAlignment="1">
      <alignment horizontal="center" vertical="center" wrapText="1"/>
    </xf>
    <xf numFmtId="14" fontId="7" fillId="3" borderId="10" xfId="1" applyNumberFormat="1" applyFont="1" applyFill="1" applyBorder="1" applyAlignment="1">
      <alignment horizontal="center" vertical="center" wrapText="1"/>
    </xf>
    <xf numFmtId="14" fontId="7" fillId="3" borderId="17" xfId="1" applyNumberFormat="1" applyFont="1" applyFill="1" applyBorder="1" applyAlignment="1">
      <alignment horizontal="center" vertical="center" wrapText="1"/>
    </xf>
    <xf numFmtId="0" fontId="15" fillId="2" borderId="41" xfId="1" applyFont="1" applyFill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 vertical="center" wrapText="1"/>
    </xf>
    <xf numFmtId="0" fontId="15" fillId="2" borderId="5" xfId="1" applyFont="1" applyFill="1" applyBorder="1" applyAlignment="1">
      <alignment horizontal="left" vertical="center" wrapText="1"/>
    </xf>
    <xf numFmtId="0" fontId="17" fillId="5" borderId="41" xfId="1" applyFont="1" applyFill="1" applyBorder="1" applyAlignment="1">
      <alignment horizontal="left" vertical="center" wrapText="1"/>
    </xf>
    <xf numFmtId="0" fontId="17" fillId="5" borderId="9" xfId="1" applyFont="1" applyFill="1" applyBorder="1" applyAlignment="1">
      <alignment horizontal="left" vertical="center" wrapText="1"/>
    </xf>
    <xf numFmtId="0" fontId="17" fillId="5" borderId="5" xfId="1" applyFont="1" applyFill="1" applyBorder="1" applyAlignment="1">
      <alignment horizontal="left" vertical="center" wrapText="1"/>
    </xf>
    <xf numFmtId="14" fontId="5" fillId="2" borderId="4" xfId="1" applyNumberFormat="1" applyFont="1" applyFill="1" applyBorder="1" applyAlignment="1">
      <alignment horizontal="center" vertical="center"/>
    </xf>
    <xf numFmtId="14" fontId="5" fillId="2" borderId="9" xfId="1" applyNumberFormat="1" applyFont="1" applyFill="1" applyBorder="1" applyAlignment="1">
      <alignment horizontal="center" vertical="center"/>
    </xf>
    <xf numFmtId="14" fontId="5" fillId="2" borderId="5" xfId="1" applyNumberFormat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20" xfId="1" applyFont="1" applyFill="1" applyBorder="1" applyAlignment="1">
      <alignment horizontal="center" vertical="center"/>
    </xf>
    <xf numFmtId="0" fontId="16" fillId="4" borderId="27" xfId="1" applyFont="1" applyFill="1" applyBorder="1" applyAlignment="1">
      <alignment horizontal="left" vertical="center" wrapText="1"/>
    </xf>
    <xf numFmtId="0" fontId="16" fillId="4" borderId="28" xfId="1" applyFont="1" applyFill="1" applyBorder="1" applyAlignment="1">
      <alignment horizontal="left" vertical="center" wrapText="1"/>
    </xf>
    <xf numFmtId="0" fontId="16" fillId="4" borderId="29" xfId="1" applyFont="1" applyFill="1" applyBorder="1" applyAlignment="1">
      <alignment horizontal="left" vertical="center" wrapText="1"/>
    </xf>
    <xf numFmtId="171" fontId="5" fillId="0" borderId="41" xfId="1" applyNumberFormat="1" applyFont="1" applyBorder="1" applyAlignment="1">
      <alignment horizontal="right" vertical="center"/>
    </xf>
    <xf numFmtId="171" fontId="5" fillId="0" borderId="9" xfId="1" applyNumberFormat="1" applyFont="1" applyBorder="1" applyAlignment="1">
      <alignment horizontal="right" vertical="center"/>
    </xf>
    <xf numFmtId="171" fontId="5" fillId="0" borderId="62" xfId="1" applyNumberFormat="1" applyFont="1" applyBorder="1" applyAlignment="1">
      <alignment horizontal="right" vertical="center"/>
    </xf>
    <xf numFmtId="171" fontId="5" fillId="0" borderId="63" xfId="1" applyNumberFormat="1" applyFont="1" applyBorder="1" applyAlignment="1">
      <alignment horizontal="right" vertical="center"/>
    </xf>
    <xf numFmtId="171" fontId="10" fillId="0" borderId="11" xfId="1" applyNumberFormat="1" applyFont="1" applyBorder="1" applyAlignment="1">
      <alignment horizontal="center" vertical="center"/>
    </xf>
    <xf numFmtId="171" fontId="10" fillId="0" borderId="12" xfId="1" applyNumberFormat="1" applyFont="1" applyBorder="1" applyAlignment="1">
      <alignment horizontal="center" vertical="center"/>
    </xf>
    <xf numFmtId="171" fontId="10" fillId="0" borderId="13" xfId="1" applyNumberFormat="1" applyFont="1" applyBorder="1" applyAlignment="1">
      <alignment horizontal="center" vertical="center"/>
    </xf>
    <xf numFmtId="171" fontId="24" fillId="4" borderId="11" xfId="1" applyNumberFormat="1" applyFont="1" applyFill="1" applyBorder="1" applyAlignment="1">
      <alignment horizontal="center" vertical="center"/>
    </xf>
    <xf numFmtId="171" fontId="24" fillId="4" borderId="12" xfId="1" applyNumberFormat="1" applyFont="1" applyFill="1" applyBorder="1" applyAlignment="1">
      <alignment horizontal="center" vertical="center"/>
    </xf>
    <xf numFmtId="171" fontId="24" fillId="4" borderId="13" xfId="1" applyNumberFormat="1" applyFont="1" applyFill="1" applyBorder="1" applyAlignment="1">
      <alignment horizontal="center" vertical="center"/>
    </xf>
    <xf numFmtId="173" fontId="24" fillId="4" borderId="11" xfId="4" applyNumberFormat="1" applyFont="1" applyFill="1" applyBorder="1" applyAlignment="1">
      <alignment horizontal="center" vertical="center"/>
    </xf>
    <xf numFmtId="173" fontId="24" fillId="4" borderId="12" xfId="4" applyNumberFormat="1" applyFont="1" applyFill="1" applyBorder="1" applyAlignment="1">
      <alignment horizontal="center" vertical="center"/>
    </xf>
    <xf numFmtId="173" fontId="24" fillId="4" borderId="13" xfId="4" applyNumberFormat="1" applyFont="1" applyFill="1" applyBorder="1" applyAlignment="1">
      <alignment horizontal="center" vertical="center"/>
    </xf>
    <xf numFmtId="0" fontId="5" fillId="0" borderId="27" xfId="1" applyFont="1" applyBorder="1" applyAlignment="1">
      <alignment horizontal="right" vertical="center"/>
    </xf>
    <xf numFmtId="0" fontId="5" fillId="0" borderId="28" xfId="1" applyFont="1" applyBorder="1" applyAlignment="1">
      <alignment horizontal="right" vertical="center"/>
    </xf>
    <xf numFmtId="168" fontId="24" fillId="4" borderId="11" xfId="4" applyNumberFormat="1" applyFont="1" applyFill="1" applyBorder="1" applyAlignment="1">
      <alignment horizontal="right" vertical="center"/>
    </xf>
    <xf numFmtId="168" fontId="24" fillId="4" borderId="12" xfId="4" applyNumberFormat="1" applyFont="1" applyFill="1" applyBorder="1" applyAlignment="1">
      <alignment horizontal="right" vertical="center"/>
    </xf>
    <xf numFmtId="168" fontId="24" fillId="4" borderId="13" xfId="4" applyNumberFormat="1" applyFont="1" applyFill="1" applyBorder="1" applyAlignment="1">
      <alignment horizontal="right" vertical="center"/>
    </xf>
    <xf numFmtId="168" fontId="24" fillId="4" borderId="27" xfId="4" applyNumberFormat="1" applyFont="1" applyFill="1" applyBorder="1" applyAlignment="1">
      <alignment horizontal="center" vertical="center"/>
    </xf>
    <xf numFmtId="168" fontId="24" fillId="4" borderId="28" xfId="4" applyNumberFormat="1" applyFont="1" applyFill="1" applyBorder="1" applyAlignment="1">
      <alignment horizontal="center" vertical="center"/>
    </xf>
    <xf numFmtId="168" fontId="24" fillId="4" borderId="56" xfId="4" applyNumberFormat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right" vertical="center"/>
    </xf>
    <xf numFmtId="0" fontId="5" fillId="3" borderId="12" xfId="1" applyFont="1" applyFill="1" applyBorder="1" applyAlignment="1">
      <alignment horizontal="right" vertical="center"/>
    </xf>
    <xf numFmtId="0" fontId="5" fillId="3" borderId="13" xfId="1" applyFont="1" applyFill="1" applyBorder="1" applyAlignment="1">
      <alignment horizontal="right" vertical="center"/>
    </xf>
    <xf numFmtId="172" fontId="5" fillId="0" borderId="41" xfId="1" applyNumberFormat="1" applyFont="1" applyBorder="1" applyAlignment="1">
      <alignment horizontal="center" vertical="center"/>
    </xf>
    <xf numFmtId="172" fontId="5" fillId="0" borderId="9" xfId="1" applyNumberFormat="1" applyFont="1" applyBorder="1" applyAlignment="1">
      <alignment horizontal="center" vertical="center"/>
    </xf>
    <xf numFmtId="172" fontId="5" fillId="0" borderId="5" xfId="1" applyNumberFormat="1" applyFont="1" applyBorder="1" applyAlignment="1">
      <alignment horizontal="center" vertical="center"/>
    </xf>
    <xf numFmtId="172" fontId="5" fillId="0" borderId="43" xfId="1" applyNumberFormat="1" applyFont="1" applyBorder="1" applyAlignment="1">
      <alignment horizontal="center" vertical="center"/>
    </xf>
    <xf numFmtId="173" fontId="5" fillId="0" borderId="41" xfId="1" applyNumberFormat="1" applyFont="1" applyBorder="1" applyAlignment="1">
      <alignment horizontal="center" vertical="center"/>
    </xf>
    <xf numFmtId="5" fontId="5" fillId="0" borderId="9" xfId="1" applyNumberFormat="1" applyFont="1" applyBorder="1" applyAlignment="1">
      <alignment horizontal="center" vertical="center"/>
    </xf>
    <xf numFmtId="5" fontId="5" fillId="0" borderId="5" xfId="1" applyNumberFormat="1" applyFont="1" applyBorder="1" applyAlignment="1">
      <alignment horizontal="center" vertical="center"/>
    </xf>
    <xf numFmtId="173" fontId="5" fillId="0" borderId="9" xfId="1" applyNumberFormat="1" applyFont="1" applyBorder="1" applyAlignment="1">
      <alignment horizontal="center" vertical="center"/>
    </xf>
    <xf numFmtId="5" fontId="5" fillId="0" borderId="43" xfId="1" applyNumberFormat="1" applyFont="1" applyBorder="1" applyAlignment="1">
      <alignment horizontal="center" vertical="center"/>
    </xf>
    <xf numFmtId="171" fontId="5" fillId="3" borderId="27" xfId="1" applyNumberFormat="1" applyFont="1" applyFill="1" applyBorder="1" applyAlignment="1">
      <alignment horizontal="center" vertical="center"/>
    </xf>
    <xf numFmtId="171" fontId="5" fillId="3" borderId="28" xfId="1" applyNumberFormat="1" applyFont="1" applyFill="1" applyBorder="1" applyAlignment="1">
      <alignment horizontal="center" vertical="center"/>
    </xf>
    <xf numFmtId="171" fontId="5" fillId="3" borderId="56" xfId="1" applyNumberFormat="1" applyFont="1" applyFill="1" applyBorder="1" applyAlignment="1">
      <alignment horizontal="center" vertical="center"/>
    </xf>
    <xf numFmtId="172" fontId="5" fillId="0" borderId="62" xfId="1" applyNumberFormat="1" applyFont="1" applyBorder="1" applyAlignment="1">
      <alignment horizontal="center" vertical="center"/>
    </xf>
    <xf numFmtId="172" fontId="5" fillId="0" borderId="63" xfId="1" applyNumberFormat="1" applyFont="1" applyBorder="1" applyAlignment="1">
      <alignment horizontal="center" vertical="center"/>
    </xf>
    <xf numFmtId="172" fontId="5" fillId="0" borderId="64" xfId="1" applyNumberFormat="1" applyFont="1" applyBorder="1" applyAlignment="1">
      <alignment horizontal="center" vertical="center"/>
    </xf>
    <xf numFmtId="172" fontId="5" fillId="0" borderId="65" xfId="1" applyNumberFormat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3" xfId="1" applyFont="1" applyBorder="1" applyAlignment="1">
      <alignment horizontal="left" vertical="center" wrapText="1"/>
    </xf>
    <xf numFmtId="0" fontId="5" fillId="0" borderId="54" xfId="1" applyFont="1" applyBorder="1" applyAlignment="1">
      <alignment horizontal="left" vertical="center" wrapText="1"/>
    </xf>
    <xf numFmtId="174" fontId="20" fillId="2" borderId="7" xfId="9" applyFont="1" applyFill="1" applyBorder="1" applyAlignment="1">
      <alignment horizontal="left" vertical="center"/>
    </xf>
    <xf numFmtId="174" fontId="5" fillId="2" borderId="0" xfId="9" applyFont="1" applyFill="1" applyAlignment="1">
      <alignment horizontal="center" vertical="center" wrapText="1"/>
    </xf>
    <xf numFmtId="174" fontId="20" fillId="2" borderId="7" xfId="9" applyFont="1" applyFill="1" applyBorder="1" applyAlignment="1">
      <alignment horizontal="left" vertical="center" wrapText="1"/>
    </xf>
    <xf numFmtId="0" fontId="31" fillId="2" borderId="0" xfId="1" applyFont="1" applyFill="1" applyAlignment="1">
      <alignment horizontal="center"/>
    </xf>
    <xf numFmtId="0" fontId="5" fillId="0" borderId="62" xfId="1" applyFont="1" applyBorder="1" applyAlignment="1">
      <alignment horizontal="center" vertical="center"/>
    </xf>
    <xf numFmtId="0" fontId="5" fillId="0" borderId="63" xfId="1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/>
    </xf>
    <xf numFmtId="0" fontId="5" fillId="0" borderId="6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62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</cellXfs>
  <cellStyles count="10">
    <cellStyle name="Millares 2" xfId="3" xr:uid="{510DD288-BA84-47F6-986E-AD121982D67C}"/>
    <cellStyle name="Millares 2 2 2" xfId="5" xr:uid="{76B00828-095F-42F0-B62B-E0B70B4A7410}"/>
    <cellStyle name="Moneda [0] 3 2 2" xfId="7" xr:uid="{C09D6D92-2B2F-4929-9780-CA032555C3EC}"/>
    <cellStyle name="Moneda 2" xfId="4" xr:uid="{38787EE5-0D61-407B-B23B-2F1B38D02070}"/>
    <cellStyle name="Normal" xfId="0" builtinId="0"/>
    <cellStyle name="Normal 10" xfId="9" xr:uid="{88329BDB-9A7A-4D87-B8A6-130A34F11DD6}"/>
    <cellStyle name="Normal 2 2" xfId="2" xr:uid="{4DB8AFC5-C4B5-4167-8442-CF962695A24D}"/>
    <cellStyle name="Normal 2 2 2" xfId="6" xr:uid="{6AE3338F-1042-4CB3-8D06-6198CDABD0D2}"/>
    <cellStyle name="Normal 2 2 2 2" xfId="1" xr:uid="{98237266-E9F9-44D2-9C69-DEF71AFF7E0D}"/>
    <cellStyle name="Porcentaje 3 2" xfId="8" xr:uid="{B4D053BA-EE22-4B37-939A-65D5056C2D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751177</xdr:colOff>
      <xdr:row>0</xdr:row>
      <xdr:rowOff>100444</xdr:rowOff>
    </xdr:from>
    <xdr:to>
      <xdr:col>4</xdr:col>
      <xdr:colOff>1476374</xdr:colOff>
      <xdr:row>1</xdr:row>
      <xdr:rowOff>785811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311C32A0-59B1-4076-B239-F033E4267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615" y="100444"/>
          <a:ext cx="5106697" cy="1566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567C-5EFA-4866-BEBD-CF12D18072D0}">
  <dimension ref="A1:BD68"/>
  <sheetViews>
    <sheetView tabSelected="1" topLeftCell="A12" zoomScale="40" zoomScaleNormal="40" workbookViewId="0">
      <selection activeCell="U13" sqref="U13"/>
    </sheetView>
  </sheetViews>
  <sheetFormatPr baseColWidth="10" defaultColWidth="11.44140625" defaultRowHeight="14.4" outlineLevelCol="1" x14ac:dyDescent="0.3"/>
  <cols>
    <col min="1" max="1" width="3.6640625" style="2" customWidth="1"/>
    <col min="2" max="2" width="26" style="2" customWidth="1"/>
    <col min="3" max="5" width="32.6640625" style="2" customWidth="1"/>
    <col min="6" max="6" width="44.44140625" style="2" customWidth="1"/>
    <col min="7" max="7" width="18.44140625" style="2" bestFit="1" customWidth="1"/>
    <col min="8" max="8" width="18" style="2" bestFit="1" customWidth="1"/>
    <col min="9" max="9" width="25" style="2" customWidth="1"/>
    <col min="10" max="10" width="24.5546875" style="2" customWidth="1"/>
    <col min="11" max="11" width="33" style="2" customWidth="1"/>
    <col min="12" max="12" width="25.6640625" style="2" customWidth="1"/>
    <col min="13" max="13" width="38.88671875" style="2" customWidth="1"/>
    <col min="14" max="14" width="21" style="2" customWidth="1"/>
    <col min="15" max="15" width="28.5546875" style="2" customWidth="1" outlineLevel="1"/>
    <col min="16" max="16" width="32.88671875" style="2" customWidth="1"/>
    <col min="17" max="17" width="23.33203125" style="2" customWidth="1"/>
    <col min="18" max="18" width="28.44140625" style="2" customWidth="1" outlineLevel="1"/>
    <col min="19" max="19" width="34.88671875" style="2" bestFit="1" customWidth="1"/>
    <col min="20" max="20" width="24.33203125" style="2" customWidth="1"/>
    <col min="21" max="21" width="29.88671875" style="2" customWidth="1" outlineLevel="1"/>
    <col min="22" max="22" width="32.5546875" style="2" customWidth="1"/>
    <col min="23" max="23" width="23.5546875" style="2" customWidth="1"/>
    <col min="24" max="24" width="28.44140625" style="2" customWidth="1" outlineLevel="1"/>
    <col min="25" max="25" width="33" style="2" customWidth="1"/>
    <col min="26" max="26" width="32.33203125" style="2" customWidth="1"/>
    <col min="27" max="27" width="42.6640625" style="2" customWidth="1"/>
    <col min="28" max="28" width="39.109375" style="2" customWidth="1"/>
    <col min="29" max="29" width="39" style="2" customWidth="1"/>
    <col min="30" max="30" width="45.88671875" style="2" customWidth="1"/>
    <col min="31" max="31" width="36.109375" style="2" customWidth="1"/>
    <col min="32" max="33" width="36.88671875" style="2" customWidth="1"/>
    <col min="34" max="34" width="37" style="2" customWidth="1"/>
    <col min="35" max="35" width="39.6640625" style="2" customWidth="1"/>
    <col min="36" max="36" width="40.44140625" style="2" customWidth="1"/>
    <col min="37" max="37" width="38.33203125" style="2" customWidth="1"/>
    <col min="38" max="38" width="42.88671875" style="2" customWidth="1"/>
    <col min="39" max="39" width="40.44140625" style="2" hidden="1" customWidth="1"/>
    <col min="40" max="40" width="38.33203125" style="2" hidden="1" customWidth="1"/>
    <col min="41" max="41" width="42.88671875" style="2" hidden="1" customWidth="1"/>
    <col min="42" max="42" width="40.44140625" style="2" hidden="1" customWidth="1"/>
    <col min="43" max="43" width="38.33203125" style="2" hidden="1" customWidth="1"/>
    <col min="44" max="44" width="42.88671875" style="2" hidden="1" customWidth="1"/>
    <col min="45" max="45" width="40.44140625" style="2" hidden="1" customWidth="1"/>
    <col min="46" max="46" width="38.33203125" style="2" hidden="1" customWidth="1"/>
    <col min="47" max="47" width="42.88671875" style="2" hidden="1" customWidth="1"/>
    <col min="48" max="48" width="40.44140625" style="2" hidden="1" customWidth="1"/>
    <col min="49" max="49" width="38.33203125" style="2" hidden="1" customWidth="1"/>
    <col min="50" max="50" width="42.88671875" style="2" hidden="1" customWidth="1"/>
    <col min="51" max="51" width="40.44140625" style="2" hidden="1" customWidth="1"/>
    <col min="52" max="52" width="38.33203125" style="2" hidden="1" customWidth="1"/>
    <col min="53" max="53" width="42.88671875" style="2" hidden="1" customWidth="1"/>
    <col min="54" max="54" width="40.44140625" style="2" hidden="1" customWidth="1"/>
    <col min="55" max="55" width="38.33203125" style="2" hidden="1" customWidth="1"/>
    <col min="56" max="56" width="42.88671875" style="2" hidden="1" customWidth="1"/>
    <col min="57" max="16384" width="11.44140625" style="2"/>
  </cols>
  <sheetData>
    <row r="1" spans="1:56" ht="69.75" customHeight="1" x14ac:dyDescent="0.3">
      <c r="A1" s="1"/>
      <c r="B1" s="195"/>
      <c r="C1" s="190"/>
      <c r="D1" s="190"/>
      <c r="E1" s="190"/>
      <c r="F1" s="190"/>
      <c r="G1" s="196"/>
      <c r="H1" s="200" t="s">
        <v>65</v>
      </c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2" t="s">
        <v>60</v>
      </c>
      <c r="AA1" s="1"/>
      <c r="AB1" s="1"/>
      <c r="AC1" s="1"/>
      <c r="AD1" s="1"/>
    </row>
    <row r="2" spans="1:56" ht="69.75" customHeight="1" x14ac:dyDescent="0.3">
      <c r="A2" s="1"/>
      <c r="B2" s="197"/>
      <c r="C2" s="198"/>
      <c r="D2" s="198"/>
      <c r="E2" s="198"/>
      <c r="F2" s="198"/>
      <c r="G2" s="199"/>
      <c r="H2" s="202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183" t="s">
        <v>0</v>
      </c>
      <c r="AA2" s="1"/>
      <c r="AB2" s="1"/>
      <c r="AC2" s="1"/>
      <c r="AD2" s="1"/>
    </row>
    <row r="3" spans="1:56" ht="18" x14ac:dyDescent="0.3">
      <c r="A3" s="1"/>
      <c r="B3" s="3"/>
      <c r="C3" s="1"/>
      <c r="D3" s="1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ht="41.25" customHeight="1" x14ac:dyDescent="0.3">
      <c r="A4" s="5"/>
      <c r="B4" s="204" t="s">
        <v>1</v>
      </c>
      <c r="C4" s="204"/>
      <c r="D4" s="205">
        <v>46192</v>
      </c>
      <c r="E4" s="206"/>
      <c r="F4" s="206"/>
      <c r="G4" s="206"/>
      <c r="H4" s="5"/>
      <c r="I4" s="7"/>
      <c r="J4" s="8"/>
      <c r="K4" s="6" t="s">
        <v>2</v>
      </c>
      <c r="L4" s="207" t="s">
        <v>61</v>
      </c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5"/>
      <c r="AA4" s="5"/>
      <c r="AB4" s="5"/>
      <c r="AC4" s="5"/>
      <c r="AD4" s="5"/>
    </row>
    <row r="5" spans="1:56" ht="48.75" customHeight="1" x14ac:dyDescent="0.3">
      <c r="A5" s="5"/>
      <c r="B5" s="187" t="s">
        <v>3</v>
      </c>
      <c r="C5" s="187"/>
      <c r="D5" s="188" t="s">
        <v>4</v>
      </c>
      <c r="E5" s="188"/>
      <c r="F5" s="188"/>
      <c r="G5" s="188"/>
      <c r="H5" s="5"/>
      <c r="I5" s="7"/>
      <c r="J5" s="8"/>
      <c r="K5" s="6" t="s">
        <v>5</v>
      </c>
      <c r="L5" s="189" t="s">
        <v>66</v>
      </c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5"/>
      <c r="AA5" s="5"/>
      <c r="AB5" s="5"/>
      <c r="AC5" s="5"/>
      <c r="AD5" s="5"/>
    </row>
    <row r="6" spans="1:56" ht="18" x14ac:dyDescent="0.3">
      <c r="A6" s="1"/>
      <c r="B6" s="9"/>
      <c r="C6" s="1"/>
      <c r="D6" s="190"/>
      <c r="E6" s="190"/>
      <c r="F6" s="190"/>
      <c r="G6" s="190"/>
      <c r="H6" s="1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ht="18.600000000000001" thickBot="1" x14ac:dyDescent="0.35">
      <c r="A7" s="1"/>
      <c r="B7" s="9"/>
      <c r="C7" s="10"/>
      <c r="D7" s="3"/>
      <c r="E7" s="3"/>
      <c r="F7" s="3"/>
      <c r="G7" s="3"/>
      <c r="H7" s="1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47.25" customHeight="1" thickBot="1" x14ac:dyDescent="0.35">
      <c r="A8" s="11"/>
      <c r="B8" s="191"/>
      <c r="C8" s="191"/>
      <c r="D8" s="191"/>
      <c r="E8" s="191"/>
      <c r="F8" s="191"/>
      <c r="G8" s="191"/>
      <c r="H8" s="1"/>
      <c r="I8" s="12"/>
      <c r="J8" s="13"/>
      <c r="K8" s="13"/>
      <c r="L8" s="13"/>
      <c r="M8" s="13"/>
      <c r="N8" s="192" t="s">
        <v>6</v>
      </c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4"/>
      <c r="Z8" s="1"/>
      <c r="AA8" s="1"/>
      <c r="AB8" s="1"/>
      <c r="AC8" s="1"/>
      <c r="AD8" s="1"/>
    </row>
    <row r="9" spans="1:56" ht="87" customHeight="1" thickBot="1" x14ac:dyDescent="0.35">
      <c r="A9" s="11"/>
      <c r="B9" s="212" t="s">
        <v>7</v>
      </c>
      <c r="C9" s="213"/>
      <c r="D9" s="213"/>
      <c r="E9" s="213"/>
      <c r="F9" s="213"/>
      <c r="G9" s="213"/>
      <c r="H9" s="214"/>
      <c r="I9" s="218" t="s">
        <v>8</v>
      </c>
      <c r="J9" s="219"/>
      <c r="K9" s="220"/>
      <c r="L9" s="218" t="s">
        <v>9</v>
      </c>
      <c r="M9" s="220"/>
      <c r="N9" s="209" t="s">
        <v>67</v>
      </c>
      <c r="O9" s="209"/>
      <c r="P9" s="210"/>
      <c r="Q9" s="209" t="s">
        <v>62</v>
      </c>
      <c r="R9" s="209"/>
      <c r="S9" s="210"/>
      <c r="T9" s="209" t="s">
        <v>63</v>
      </c>
      <c r="U9" s="209"/>
      <c r="V9" s="210"/>
      <c r="W9" s="209" t="s">
        <v>64</v>
      </c>
      <c r="X9" s="209"/>
      <c r="Y9" s="210"/>
      <c r="Z9" s="1"/>
      <c r="AA9" s="1"/>
      <c r="AB9" s="1"/>
      <c r="AC9" s="1"/>
      <c r="AD9" s="1"/>
    </row>
    <row r="10" spans="1:56" ht="57.75" customHeight="1" thickBot="1" x14ac:dyDescent="0.35">
      <c r="A10" s="11"/>
      <c r="B10" s="215"/>
      <c r="C10" s="216"/>
      <c r="D10" s="216"/>
      <c r="E10" s="216"/>
      <c r="F10" s="216"/>
      <c r="G10" s="216"/>
      <c r="H10" s="217"/>
      <c r="I10" s="221"/>
      <c r="J10" s="222"/>
      <c r="K10" s="223"/>
      <c r="L10" s="221"/>
      <c r="M10" s="223"/>
      <c r="N10" s="209" t="s">
        <v>10</v>
      </c>
      <c r="O10" s="209"/>
      <c r="P10" s="210"/>
      <c r="Q10" s="211" t="s">
        <v>10</v>
      </c>
      <c r="R10" s="209"/>
      <c r="S10" s="210"/>
      <c r="T10" s="211" t="s">
        <v>10</v>
      </c>
      <c r="U10" s="209"/>
      <c r="V10" s="210"/>
      <c r="W10" s="209" t="s">
        <v>11</v>
      </c>
      <c r="X10" s="209"/>
      <c r="Y10" s="210"/>
      <c r="Z10" s="1"/>
      <c r="AA10" s="230" t="str">
        <f>+N9</f>
        <v>DAVID RICO</v>
      </c>
      <c r="AB10" s="231"/>
      <c r="AC10" s="232"/>
      <c r="AD10" s="230" t="str">
        <f>+Q9</f>
        <v>OFERENTE 2</v>
      </c>
      <c r="AE10" s="231"/>
      <c r="AF10" s="232"/>
      <c r="AG10" s="230" t="str">
        <f>+T9</f>
        <v>OFERENTE 3</v>
      </c>
      <c r="AH10" s="231"/>
      <c r="AI10" s="232"/>
      <c r="AJ10" s="230" t="str">
        <f>+W9</f>
        <v>OFERENTE 4</v>
      </c>
      <c r="AK10" s="231"/>
      <c r="AL10" s="232"/>
      <c r="AM10" s="230" t="e">
        <f>+#REF!</f>
        <v>#REF!</v>
      </c>
      <c r="AN10" s="231"/>
      <c r="AO10" s="232"/>
      <c r="AP10" s="230" t="e">
        <f>+#REF!</f>
        <v>#REF!</v>
      </c>
      <c r="AQ10" s="231"/>
      <c r="AR10" s="232"/>
      <c r="AS10" s="230" t="e">
        <f>+#REF!</f>
        <v>#REF!</v>
      </c>
      <c r="AT10" s="231"/>
      <c r="AU10" s="232"/>
      <c r="AV10" s="230" t="e">
        <f>+#REF!</f>
        <v>#REF!</v>
      </c>
      <c r="AW10" s="231"/>
      <c r="AX10" s="232"/>
      <c r="AY10" s="230" t="e">
        <f>+#REF!</f>
        <v>#REF!</v>
      </c>
      <c r="AZ10" s="231"/>
      <c r="BA10" s="232"/>
      <c r="BB10" s="230" t="e">
        <f>+#REF!</f>
        <v>#REF!</v>
      </c>
      <c r="BC10" s="231"/>
      <c r="BD10" s="232"/>
    </row>
    <row r="11" spans="1:56" ht="70.5" customHeight="1" thickBot="1" x14ac:dyDescent="0.35">
      <c r="A11" s="11"/>
      <c r="B11" s="14" t="s">
        <v>12</v>
      </c>
      <c r="C11" s="233" t="s">
        <v>13</v>
      </c>
      <c r="D11" s="234"/>
      <c r="E11" s="235"/>
      <c r="F11" s="15" t="s">
        <v>14</v>
      </c>
      <c r="G11" s="16" t="s">
        <v>15</v>
      </c>
      <c r="H11" s="17" t="s">
        <v>16</v>
      </c>
      <c r="I11" s="18" t="s">
        <v>17</v>
      </c>
      <c r="J11" s="19" t="s">
        <v>18</v>
      </c>
      <c r="K11" s="20" t="s">
        <v>19</v>
      </c>
      <c r="L11" s="21" t="s">
        <v>18</v>
      </c>
      <c r="M11" s="20" t="s">
        <v>20</v>
      </c>
      <c r="N11" s="184" t="s">
        <v>18</v>
      </c>
      <c r="O11" s="184" t="s">
        <v>21</v>
      </c>
      <c r="P11" s="185" t="s">
        <v>22</v>
      </c>
      <c r="Q11" s="184" t="s">
        <v>18</v>
      </c>
      <c r="R11" s="184" t="s">
        <v>21</v>
      </c>
      <c r="S11" s="185" t="s">
        <v>22</v>
      </c>
      <c r="T11" s="186" t="s">
        <v>18</v>
      </c>
      <c r="U11" s="184" t="s">
        <v>21</v>
      </c>
      <c r="V11" s="185" t="s">
        <v>22</v>
      </c>
      <c r="W11" s="184" t="s">
        <v>18</v>
      </c>
      <c r="X11" s="184" t="s">
        <v>21</v>
      </c>
      <c r="Y11" s="185" t="s">
        <v>22</v>
      </c>
      <c r="Z11" s="1"/>
      <c r="AA11" s="22" t="s">
        <v>23</v>
      </c>
      <c r="AB11" s="22" t="s">
        <v>24</v>
      </c>
      <c r="AC11" s="22" t="s">
        <v>25</v>
      </c>
      <c r="AD11" s="22" t="s">
        <v>23</v>
      </c>
      <c r="AE11" s="22" t="s">
        <v>24</v>
      </c>
      <c r="AF11" s="22" t="s">
        <v>25</v>
      </c>
      <c r="AG11" s="22" t="s">
        <v>23</v>
      </c>
      <c r="AH11" s="22" t="s">
        <v>24</v>
      </c>
      <c r="AI11" s="22" t="s">
        <v>25</v>
      </c>
      <c r="AJ11" s="22" t="s">
        <v>23</v>
      </c>
      <c r="AK11" s="22" t="s">
        <v>24</v>
      </c>
      <c r="AL11" s="22" t="s">
        <v>25</v>
      </c>
      <c r="AM11" s="22" t="s">
        <v>23</v>
      </c>
      <c r="AN11" s="22" t="s">
        <v>24</v>
      </c>
      <c r="AO11" s="22" t="s">
        <v>25</v>
      </c>
      <c r="AP11" s="22" t="s">
        <v>23</v>
      </c>
      <c r="AQ11" s="22" t="s">
        <v>24</v>
      </c>
      <c r="AR11" s="22" t="s">
        <v>25</v>
      </c>
      <c r="AS11" s="22" t="s">
        <v>23</v>
      </c>
      <c r="AT11" s="22" t="s">
        <v>24</v>
      </c>
      <c r="AU11" s="22" t="s">
        <v>25</v>
      </c>
      <c r="AV11" s="22" t="s">
        <v>23</v>
      </c>
      <c r="AW11" s="22" t="s">
        <v>24</v>
      </c>
      <c r="AX11" s="22" t="s">
        <v>25</v>
      </c>
      <c r="AY11" s="22" t="s">
        <v>23</v>
      </c>
      <c r="AZ11" s="22" t="s">
        <v>24</v>
      </c>
      <c r="BA11" s="22" t="s">
        <v>25</v>
      </c>
      <c r="BB11" s="22" t="s">
        <v>23</v>
      </c>
      <c r="BC11" s="22" t="s">
        <v>24</v>
      </c>
      <c r="BD11" s="22" t="s">
        <v>25</v>
      </c>
    </row>
    <row r="12" spans="1:56" ht="40.950000000000003" customHeight="1" thickBot="1" x14ac:dyDescent="0.35">
      <c r="A12" s="23"/>
      <c r="B12" s="24"/>
      <c r="C12" s="236" t="s">
        <v>26</v>
      </c>
      <c r="D12" s="237"/>
      <c r="E12" s="237"/>
      <c r="F12" s="238"/>
      <c r="G12" s="25"/>
      <c r="H12" s="26"/>
      <c r="I12" s="27"/>
      <c r="J12" s="28"/>
      <c r="K12" s="29">
        <f>+K13+K16+K18+K21</f>
        <v>0</v>
      </c>
      <c r="L12" s="30"/>
      <c r="M12" s="31">
        <f>+M13+M16+M18+M21</f>
        <v>0</v>
      </c>
      <c r="N12" s="32"/>
      <c r="O12" s="32"/>
      <c r="P12" s="33">
        <f>+P13+P16+P18+P21</f>
        <v>970000</v>
      </c>
      <c r="Q12" s="34"/>
      <c r="R12" s="34"/>
      <c r="S12" s="29">
        <f>+S13+S16+S18+S21</f>
        <v>0</v>
      </c>
      <c r="T12" s="35"/>
      <c r="U12" s="34"/>
      <c r="V12" s="29">
        <f>+V16+V13</f>
        <v>0</v>
      </c>
      <c r="W12" s="34"/>
      <c r="X12" s="34"/>
      <c r="Y12" s="29">
        <f>+Y16+Y13</f>
        <v>0</v>
      </c>
      <c r="Z12" s="23"/>
      <c r="AA12" s="36"/>
      <c r="AB12" s="23"/>
      <c r="AC12" s="37"/>
      <c r="AD12" s="36"/>
      <c r="AE12" s="23"/>
      <c r="AF12" s="37"/>
      <c r="AG12" s="36"/>
      <c r="AH12" s="23"/>
      <c r="AI12" s="37"/>
      <c r="AJ12" s="36"/>
      <c r="AK12" s="23"/>
      <c r="AL12" s="37"/>
      <c r="AM12" s="36"/>
      <c r="AN12" s="23"/>
      <c r="AO12" s="37"/>
      <c r="AP12" s="36"/>
      <c r="AQ12" s="23"/>
      <c r="AR12" s="37"/>
      <c r="AS12" s="36"/>
      <c r="AT12" s="23"/>
      <c r="AU12" s="37"/>
      <c r="AV12" s="36"/>
      <c r="AW12" s="23"/>
      <c r="AX12" s="37"/>
      <c r="AY12" s="36"/>
      <c r="AZ12" s="23"/>
      <c r="BA12" s="37"/>
      <c r="BB12" s="36"/>
      <c r="BC12" s="23"/>
      <c r="BD12" s="37"/>
    </row>
    <row r="13" spans="1:56" ht="70.5" customHeight="1" x14ac:dyDescent="0.3">
      <c r="A13" s="38"/>
      <c r="B13" s="39"/>
      <c r="C13" s="227" t="s">
        <v>70</v>
      </c>
      <c r="D13" s="228"/>
      <c r="E13" s="229"/>
      <c r="F13" s="41"/>
      <c r="G13" s="42" t="s">
        <v>15</v>
      </c>
      <c r="H13" s="43">
        <v>1</v>
      </c>
      <c r="I13" s="44"/>
      <c r="J13" s="45"/>
      <c r="K13" s="46">
        <f>+SUM(K14:K15)</f>
        <v>0</v>
      </c>
      <c r="L13" s="47"/>
      <c r="M13" s="46">
        <f>+SUM(M14:M15)</f>
        <v>0</v>
      </c>
      <c r="N13" s="48"/>
      <c r="O13" s="49"/>
      <c r="P13" s="50">
        <f>+SUM(P14:P15)</f>
        <v>970000</v>
      </c>
      <c r="Q13" s="48"/>
      <c r="R13" s="49"/>
      <c r="S13" s="50">
        <f>+SUM(S14:S15)</f>
        <v>0</v>
      </c>
      <c r="T13" s="48"/>
      <c r="U13" s="49">
        <f>+SUM(U14:U14)</f>
        <v>0</v>
      </c>
      <c r="V13" s="50">
        <f>+SUM(V14:V14)</f>
        <v>0</v>
      </c>
      <c r="W13" s="48"/>
      <c r="X13" s="49">
        <f>+SUM(X14:X14)</f>
        <v>0</v>
      </c>
      <c r="Y13" s="50">
        <f>+SUM(Y14:Y14)</f>
        <v>0</v>
      </c>
      <c r="Z13" s="51"/>
      <c r="AA13" s="52"/>
      <c r="AB13" s="53"/>
      <c r="AC13" s="54"/>
      <c r="AD13" s="52"/>
      <c r="AE13" s="53"/>
      <c r="AF13" s="54"/>
      <c r="AG13" s="52"/>
      <c r="AH13" s="53"/>
      <c r="AI13" s="54"/>
      <c r="AJ13" s="52"/>
      <c r="AK13" s="53"/>
      <c r="AL13" s="54"/>
      <c r="AM13" s="52"/>
      <c r="AN13" s="53"/>
      <c r="AO13" s="54"/>
      <c r="AP13" s="52"/>
      <c r="AQ13" s="53"/>
      <c r="AR13" s="54"/>
      <c r="AS13" s="52"/>
      <c r="AT13" s="53"/>
      <c r="AU13" s="54"/>
      <c r="AV13" s="52"/>
      <c r="AW13" s="53"/>
      <c r="AX13" s="54"/>
      <c r="AY13" s="52"/>
      <c r="AZ13" s="53"/>
      <c r="BA13" s="54"/>
      <c r="BB13" s="52"/>
      <c r="BC13" s="53"/>
      <c r="BD13" s="54"/>
    </row>
    <row r="14" spans="1:56" ht="40.5" customHeight="1" x14ac:dyDescent="0.3">
      <c r="A14" s="23"/>
      <c r="B14" s="55"/>
      <c r="C14" s="224" t="s">
        <v>68</v>
      </c>
      <c r="D14" s="225"/>
      <c r="E14" s="226"/>
      <c r="F14" s="56"/>
      <c r="G14" s="57" t="s">
        <v>15</v>
      </c>
      <c r="H14" s="58" t="s">
        <v>69</v>
      </c>
      <c r="I14" s="59"/>
      <c r="J14" s="60"/>
      <c r="K14" s="61">
        <f>+I14*J14</f>
        <v>0</v>
      </c>
      <c r="L14" s="62"/>
      <c r="M14" s="63">
        <f>+H14*L14</f>
        <v>0</v>
      </c>
      <c r="N14" s="64"/>
      <c r="O14" s="65">
        <f>((N14*N$24)+(N14*N$25)+(N14*N$26)+(N14*N$26*N$27))+N14</f>
        <v>0</v>
      </c>
      <c r="P14" s="66">
        <v>970000</v>
      </c>
      <c r="Q14" s="64"/>
      <c r="R14" s="65">
        <f>((Q14*Q$24)+(Q14*Q$25)+(Q14*Q$26)+(Q14*Q$26*Q$27))+Q14</f>
        <v>0</v>
      </c>
      <c r="S14" s="66">
        <f>+Q14*$H14</f>
        <v>0</v>
      </c>
      <c r="T14" s="64"/>
      <c r="U14" s="65">
        <f>((T14*T$24)+(T14*T$25)+(T14*T$26)+(T14*T$26*T$27))+T14</f>
        <v>0</v>
      </c>
      <c r="V14" s="66">
        <f>+T14*$H14</f>
        <v>0</v>
      </c>
      <c r="W14" s="64"/>
      <c r="X14" s="65">
        <f>((W14*W$24)+(W14*W$25)+(W14*W$26)+(W14*W$26*W$27))+W14</f>
        <v>0</v>
      </c>
      <c r="Y14" s="66">
        <f>+W14*$H14</f>
        <v>0</v>
      </c>
      <c r="Z14" s="23"/>
      <c r="AA14" s="68">
        <f>($H14)-$I14</f>
        <v>1</v>
      </c>
      <c r="AB14" s="69">
        <f>(O14)*AA14</f>
        <v>0</v>
      </c>
      <c r="AC14" s="70">
        <f>((O14)-$J14)*($I14)</f>
        <v>0</v>
      </c>
      <c r="AD14" s="68">
        <f>($H14)-$I14</f>
        <v>1</v>
      </c>
      <c r="AE14" s="69">
        <f>(R14)*AD14</f>
        <v>0</v>
      </c>
      <c r="AF14" s="70">
        <f>((R14)-$J14)*($I14)</f>
        <v>0</v>
      </c>
      <c r="AG14" s="68">
        <f>($H14)-$I14</f>
        <v>1</v>
      </c>
      <c r="AH14" s="69">
        <f>(U14)*AG14</f>
        <v>0</v>
      </c>
      <c r="AI14" s="70">
        <f>((U14)-$J14)*($I14)</f>
        <v>0</v>
      </c>
      <c r="AJ14" s="68">
        <f>($H14)-$I14</f>
        <v>1</v>
      </c>
      <c r="AK14" s="69">
        <f>(X14)*AJ14</f>
        <v>0</v>
      </c>
      <c r="AL14" s="70">
        <f>((X14)-$J14)*($I14)</f>
        <v>0</v>
      </c>
      <c r="AM14" s="68">
        <f>($H14-$I14)</f>
        <v>1</v>
      </c>
      <c r="AN14" s="69" t="e">
        <f>+AM14*(#REF!+#REF!)</f>
        <v>#REF!</v>
      </c>
      <c r="AO14" s="70" t="e">
        <f>((#REF!+#REF!)-J14)*(I14)</f>
        <v>#REF!</v>
      </c>
      <c r="AP14" s="68">
        <f>($H14-$I14)</f>
        <v>1</v>
      </c>
      <c r="AQ14" s="69" t="e">
        <f>+AP14*(#REF!+#REF!)</f>
        <v>#REF!</v>
      </c>
      <c r="AR14" s="70" t="e">
        <f>((#REF!+#REF!)-J14)*(I14)</f>
        <v>#REF!</v>
      </c>
      <c r="AS14" s="68">
        <f>($H14-$I14)</f>
        <v>1</v>
      </c>
      <c r="AT14" s="69" t="e">
        <f>+AS14*(#REF!+#REF!)</f>
        <v>#REF!</v>
      </c>
      <c r="AU14" s="70" t="e">
        <f>((#REF!+#REF!)-J14)*(I14)</f>
        <v>#REF!</v>
      </c>
      <c r="AV14" s="68">
        <f>($H14-$I14)</f>
        <v>1</v>
      </c>
      <c r="AW14" s="69" t="e">
        <f>+AV14*(#REF!+#REF!)</f>
        <v>#REF!</v>
      </c>
      <c r="AX14" s="70" t="e">
        <f>((#REF!+#REF!)-J14)*(I14)</f>
        <v>#REF!</v>
      </c>
      <c r="AY14" s="68">
        <f>($H14-$I14)</f>
        <v>1</v>
      </c>
      <c r="AZ14" s="69" t="e">
        <f>+AY14*(#REF!+#REF!)</f>
        <v>#REF!</v>
      </c>
      <c r="BA14" s="70" t="e">
        <f>((#REF!+#REF!)-J14)*(I14)</f>
        <v>#REF!</v>
      </c>
      <c r="BB14" s="68">
        <f>($H14-$I14)</f>
        <v>1</v>
      </c>
      <c r="BC14" s="69" t="e">
        <f>+BB14*(#REF!)</f>
        <v>#REF!</v>
      </c>
      <c r="BD14" s="70" t="e">
        <f>((#REF!)-J14)*I14</f>
        <v>#REF!</v>
      </c>
    </row>
    <row r="15" spans="1:56" ht="38.25" customHeight="1" x14ac:dyDescent="0.3">
      <c r="A15" s="23"/>
      <c r="B15" s="71"/>
      <c r="C15" s="224"/>
      <c r="D15" s="225"/>
      <c r="E15" s="226"/>
      <c r="F15" s="72"/>
      <c r="G15" s="57"/>
      <c r="H15" s="73"/>
      <c r="I15" s="59"/>
      <c r="J15" s="60"/>
      <c r="K15" s="61">
        <f>+I15*J15</f>
        <v>0</v>
      </c>
      <c r="L15" s="62"/>
      <c r="M15" s="63">
        <f>+H15*L15</f>
        <v>0</v>
      </c>
      <c r="N15" s="64"/>
      <c r="O15" s="65">
        <f>((N15*N$24)+(N15*N$25)+(N15*N$26)+(N15*N$26*N$27))+N15</f>
        <v>0</v>
      </c>
      <c r="P15" s="66">
        <f>+N15*$H15</f>
        <v>0</v>
      </c>
      <c r="Q15" s="64"/>
      <c r="R15" s="65">
        <f>((Q15*Q$24)+(Q15*Q$25)+(Q15*Q$26)+(Q15*Q$26*Q$27))+Q15</f>
        <v>0</v>
      </c>
      <c r="S15" s="66">
        <f>+Q15*$H15</f>
        <v>0</v>
      </c>
      <c r="T15" s="64"/>
      <c r="U15" s="65">
        <f>((T15*T$24)+(T15*T$25)+(T15*T$26)+(T15*T$26*T$27))+T15</f>
        <v>0</v>
      </c>
      <c r="V15" s="66">
        <f>+T15*$H15</f>
        <v>0</v>
      </c>
      <c r="W15" s="64"/>
      <c r="X15" s="65">
        <f>((W15*W$24)+(W15*W$25)+(W15*W$26)+(W15*W$26*W$27))+W15</f>
        <v>0</v>
      </c>
      <c r="Y15" s="66">
        <f>+W15*$H15</f>
        <v>0</v>
      </c>
      <c r="Z15" s="23"/>
      <c r="AA15" s="68">
        <f t="shared" ref="AA15:AA22" si="0">($H15)-$I15</f>
        <v>0</v>
      </c>
      <c r="AB15" s="69">
        <f>(O15)*AA15</f>
        <v>0</v>
      </c>
      <c r="AC15" s="70">
        <f>((O15)-$J15)*($I15)</f>
        <v>0</v>
      </c>
      <c r="AD15" s="68">
        <f t="shared" ref="AD15:AD22" si="1">($H15)-$I15</f>
        <v>0</v>
      </c>
      <c r="AE15" s="69">
        <f>(R15)*AD15</f>
        <v>0</v>
      </c>
      <c r="AF15" s="70">
        <f>((R15)-$J15)*($I15)</f>
        <v>0</v>
      </c>
      <c r="AG15" s="68">
        <f t="shared" ref="AG15:AG22" si="2">($H15)-$I15</f>
        <v>0</v>
      </c>
      <c r="AH15" s="69">
        <f>(U15)*AG15</f>
        <v>0</v>
      </c>
      <c r="AI15" s="70">
        <f>((U15)-$J15)*($I15)</f>
        <v>0</v>
      </c>
      <c r="AJ15" s="68">
        <f t="shared" ref="AJ15:AJ22" si="3">($H15)-$I15</f>
        <v>0</v>
      </c>
      <c r="AK15" s="69">
        <f>(X15)*AJ15</f>
        <v>0</v>
      </c>
      <c r="AL15" s="70">
        <f>((X15)-$J15)*($I15)</f>
        <v>0</v>
      </c>
      <c r="AM15" s="68">
        <f>($H15-$I15)</f>
        <v>0</v>
      </c>
      <c r="AN15" s="69" t="e">
        <f>+AM15*(#REF!+#REF!)</f>
        <v>#REF!</v>
      </c>
      <c r="AO15" s="70" t="e">
        <f>((#REF!+#REF!)-J15)*(I15)</f>
        <v>#REF!</v>
      </c>
      <c r="AP15" s="68">
        <f>($H15-$I15)</f>
        <v>0</v>
      </c>
      <c r="AQ15" s="69" t="e">
        <f>+AP15*(#REF!+#REF!)</f>
        <v>#REF!</v>
      </c>
      <c r="AR15" s="70" t="e">
        <f>((#REF!+#REF!)-J15)*(I15)</f>
        <v>#REF!</v>
      </c>
      <c r="AS15" s="68">
        <f>($H15-$I15)</f>
        <v>0</v>
      </c>
      <c r="AT15" s="69" t="e">
        <f>+AS15*(#REF!+#REF!)</f>
        <v>#REF!</v>
      </c>
      <c r="AU15" s="70" t="e">
        <f>((#REF!+#REF!)-J15)*(I15)</f>
        <v>#REF!</v>
      </c>
      <c r="AV15" s="68">
        <f>($H15-$I15)</f>
        <v>0</v>
      </c>
      <c r="AW15" s="69" t="e">
        <f>+AV15*(#REF!+#REF!)</f>
        <v>#REF!</v>
      </c>
      <c r="AX15" s="70" t="e">
        <f>((#REF!+#REF!)-J15)*(I15)</f>
        <v>#REF!</v>
      </c>
      <c r="AY15" s="68">
        <f>($H15-$I15)</f>
        <v>0</v>
      </c>
      <c r="AZ15" s="69" t="e">
        <f>+AY15*(#REF!+#REF!)</f>
        <v>#REF!</v>
      </c>
      <c r="BA15" s="70" t="e">
        <f>((#REF!+#REF!)-J15)*(I15)</f>
        <v>#REF!</v>
      </c>
      <c r="BB15" s="68">
        <f>($H15-$I15)</f>
        <v>0</v>
      </c>
      <c r="BC15" s="69" t="e">
        <f>+BB15*(#REF!)</f>
        <v>#REF!</v>
      </c>
      <c r="BD15" s="70" t="e">
        <f>((#REF!)-J15)*I15</f>
        <v>#REF!</v>
      </c>
    </row>
    <row r="16" spans="1:56" ht="66.75" customHeight="1" x14ac:dyDescent="0.3">
      <c r="A16" s="38"/>
      <c r="B16" s="39"/>
      <c r="C16" s="227"/>
      <c r="D16" s="228"/>
      <c r="E16" s="229"/>
      <c r="F16" s="40"/>
      <c r="G16" s="42"/>
      <c r="H16" s="74"/>
      <c r="I16" s="44"/>
      <c r="J16" s="45"/>
      <c r="K16" s="46">
        <f>+SUM(K17)</f>
        <v>0</v>
      </c>
      <c r="L16" s="47"/>
      <c r="M16" s="46">
        <f>+SUM(M17)</f>
        <v>0</v>
      </c>
      <c r="N16" s="75"/>
      <c r="O16" s="76"/>
      <c r="P16" s="77">
        <f>+SUM(P17:P17)</f>
        <v>0</v>
      </c>
      <c r="Q16" s="75"/>
      <c r="R16" s="76"/>
      <c r="S16" s="77">
        <f>+SUM(S17:S17)</f>
        <v>0</v>
      </c>
      <c r="T16" s="75"/>
      <c r="U16" s="76">
        <f>+SUM(U17:U17)</f>
        <v>0</v>
      </c>
      <c r="V16" s="77">
        <f>+SUM(V17:V17)</f>
        <v>0</v>
      </c>
      <c r="W16" s="75"/>
      <c r="X16" s="76">
        <f>+SUM(X17:X17)</f>
        <v>0</v>
      </c>
      <c r="Y16" s="77">
        <f>+SUM(Y17:Y17)</f>
        <v>0</v>
      </c>
      <c r="Z16" s="51"/>
      <c r="AA16" s="68"/>
      <c r="AB16" s="53"/>
      <c r="AC16" s="70"/>
      <c r="AD16" s="68"/>
      <c r="AE16" s="53"/>
      <c r="AF16" s="54"/>
      <c r="AG16" s="68"/>
      <c r="AH16" s="53"/>
      <c r="AI16" s="54"/>
      <c r="AJ16" s="68"/>
      <c r="AK16" s="53"/>
      <c r="AL16" s="54"/>
      <c r="AM16" s="52"/>
      <c r="AN16" s="53"/>
      <c r="AO16" s="54"/>
      <c r="AP16" s="52"/>
      <c r="AQ16" s="53"/>
      <c r="AR16" s="54"/>
      <c r="AS16" s="52"/>
      <c r="AT16" s="53"/>
      <c r="AU16" s="54"/>
      <c r="AV16" s="52"/>
      <c r="AW16" s="53"/>
      <c r="AX16" s="54"/>
      <c r="AY16" s="52"/>
      <c r="AZ16" s="53"/>
      <c r="BA16" s="54"/>
      <c r="BB16" s="52"/>
      <c r="BC16" s="53"/>
      <c r="BD16" s="54"/>
    </row>
    <row r="17" spans="1:56" ht="45.75" customHeight="1" x14ac:dyDescent="0.3">
      <c r="A17" s="23"/>
      <c r="B17" s="71"/>
      <c r="C17" s="224"/>
      <c r="D17" s="225"/>
      <c r="E17" s="226"/>
      <c r="F17" s="72"/>
      <c r="G17" s="57"/>
      <c r="H17" s="73"/>
      <c r="I17" s="59"/>
      <c r="J17" s="60"/>
      <c r="K17" s="61">
        <f>+I17*J17</f>
        <v>0</v>
      </c>
      <c r="L17" s="62"/>
      <c r="M17" s="63">
        <f>+H17*L17</f>
        <v>0</v>
      </c>
      <c r="N17" s="64"/>
      <c r="O17" s="65">
        <f>((N17*N$24)+(N17*N$25)+(N17*N$26)+(N17*N$26*N$27))+N17</f>
        <v>0</v>
      </c>
      <c r="P17" s="66">
        <f>+N17*$H17</f>
        <v>0</v>
      </c>
      <c r="Q17" s="64"/>
      <c r="R17" s="65">
        <f>((Q17*Q$24)+(Q17*Q$25)+(Q17*Q$26)+(Q17*Q$26*Q$27))+Q17</f>
        <v>0</v>
      </c>
      <c r="S17" s="66">
        <f>+Q17*$H17</f>
        <v>0</v>
      </c>
      <c r="T17" s="64"/>
      <c r="U17" s="65">
        <f>((T17*T$24)+(T17*T$25)+(T17*T$26)+(T17*T$26*T$27))+T17</f>
        <v>0</v>
      </c>
      <c r="V17" s="66">
        <f>+T17*$H17</f>
        <v>0</v>
      </c>
      <c r="W17" s="64"/>
      <c r="X17" s="65">
        <f>((W17*W$24)+(W17*W$25)+(W17*W$26)+(W17*W$26*W$27))+W17</f>
        <v>0</v>
      </c>
      <c r="Y17" s="66">
        <f>+W17*$H17</f>
        <v>0</v>
      </c>
      <c r="Z17" s="23"/>
      <c r="AA17" s="68">
        <f t="shared" si="0"/>
        <v>0</v>
      </c>
      <c r="AB17" s="69">
        <f>(O17)*AA17</f>
        <v>0</v>
      </c>
      <c r="AC17" s="70">
        <f>((O17)-$J17)*($I17)</f>
        <v>0</v>
      </c>
      <c r="AD17" s="68">
        <f t="shared" si="1"/>
        <v>0</v>
      </c>
      <c r="AE17" s="69">
        <f>(R17)*AD17</f>
        <v>0</v>
      </c>
      <c r="AF17" s="70">
        <f>((R17)-$J17)*($I17)</f>
        <v>0</v>
      </c>
      <c r="AG17" s="68">
        <f t="shared" si="2"/>
        <v>0</v>
      </c>
      <c r="AH17" s="69">
        <f>(U17)*AG17</f>
        <v>0</v>
      </c>
      <c r="AI17" s="70">
        <f>((U17)-$J17)*($I17)</f>
        <v>0</v>
      </c>
      <c r="AJ17" s="68">
        <f t="shared" si="3"/>
        <v>0</v>
      </c>
      <c r="AK17" s="69">
        <f>(X17)*AJ17</f>
        <v>0</v>
      </c>
      <c r="AL17" s="70">
        <f>((X17)-$J17)*($I17)</f>
        <v>0</v>
      </c>
      <c r="AM17" s="68">
        <f>($H17-$I17)</f>
        <v>0</v>
      </c>
      <c r="AN17" s="69" t="e">
        <f>+AM17*(#REF!+#REF!)</f>
        <v>#REF!</v>
      </c>
      <c r="AO17" s="70" t="e">
        <f>((#REF!+#REF!)-J17)*(I17)</f>
        <v>#REF!</v>
      </c>
      <c r="AP17" s="68">
        <f>($H17-$I17)</f>
        <v>0</v>
      </c>
      <c r="AQ17" s="69" t="e">
        <f>+AP17*(#REF!+#REF!)</f>
        <v>#REF!</v>
      </c>
      <c r="AR17" s="70" t="e">
        <f>((#REF!+#REF!)-J17)*(I17)</f>
        <v>#REF!</v>
      </c>
      <c r="AS17" s="68">
        <f>($H17-$I17)</f>
        <v>0</v>
      </c>
      <c r="AT17" s="69" t="e">
        <f>+AS17*(#REF!+#REF!)</f>
        <v>#REF!</v>
      </c>
      <c r="AU17" s="70" t="e">
        <f>((#REF!+#REF!)-J17)*(I17)</f>
        <v>#REF!</v>
      </c>
      <c r="AV17" s="68">
        <f>($H17-$I17)</f>
        <v>0</v>
      </c>
      <c r="AW17" s="69" t="e">
        <f>+AV17*(#REF!+#REF!)</f>
        <v>#REF!</v>
      </c>
      <c r="AX17" s="70" t="e">
        <f>((#REF!+#REF!)-J17)*(I17)</f>
        <v>#REF!</v>
      </c>
      <c r="AY17" s="68">
        <f>($H17-$I17)</f>
        <v>0</v>
      </c>
      <c r="AZ17" s="69" t="e">
        <f>+AY17*(#REF!+#REF!)</f>
        <v>#REF!</v>
      </c>
      <c r="BA17" s="70" t="e">
        <f>((#REF!+#REF!)-J17)*(I17)</f>
        <v>#REF!</v>
      </c>
      <c r="BB17" s="68">
        <f>($H17-$I17)</f>
        <v>0</v>
      </c>
      <c r="BC17" s="69" t="e">
        <f>+BB17*(#REF!)</f>
        <v>#REF!</v>
      </c>
      <c r="BD17" s="70" t="e">
        <f>((#REF!)-J17)*I17</f>
        <v>#REF!</v>
      </c>
    </row>
    <row r="18" spans="1:56" ht="65.25" customHeight="1" x14ac:dyDescent="0.3">
      <c r="A18" s="38"/>
      <c r="B18" s="39"/>
      <c r="C18" s="227"/>
      <c r="D18" s="228"/>
      <c r="E18" s="229"/>
      <c r="F18" s="40"/>
      <c r="G18" s="42"/>
      <c r="H18" s="74"/>
      <c r="I18" s="44"/>
      <c r="J18" s="45"/>
      <c r="K18" s="46">
        <f>+SUM(K19:K20)</f>
        <v>0</v>
      </c>
      <c r="L18" s="47"/>
      <c r="M18" s="46">
        <f>+SUM(M19:M20)</f>
        <v>0</v>
      </c>
      <c r="N18" s="75"/>
      <c r="O18" s="76"/>
      <c r="P18" s="77">
        <f>+SUM(P19:P20)</f>
        <v>0</v>
      </c>
      <c r="Q18" s="75"/>
      <c r="R18" s="76"/>
      <c r="S18" s="77">
        <f>+SUM(S19:S20)</f>
        <v>0</v>
      </c>
      <c r="T18" s="75"/>
      <c r="U18" s="76">
        <f>+SUM(U19:U19)</f>
        <v>0</v>
      </c>
      <c r="V18" s="77">
        <f>+SUM(V19:V19)</f>
        <v>0</v>
      </c>
      <c r="W18" s="75"/>
      <c r="X18" s="76">
        <f>+SUM(X19:X19)</f>
        <v>0</v>
      </c>
      <c r="Y18" s="77">
        <f>+SUM(Y19:Y19)</f>
        <v>0</v>
      </c>
      <c r="Z18" s="51"/>
      <c r="AA18" s="68"/>
      <c r="AB18" s="53"/>
      <c r="AC18" s="70"/>
      <c r="AD18" s="68"/>
      <c r="AE18" s="53"/>
      <c r="AF18" s="54"/>
      <c r="AG18" s="68"/>
      <c r="AH18" s="53"/>
      <c r="AI18" s="54"/>
      <c r="AJ18" s="68"/>
      <c r="AK18" s="53"/>
      <c r="AL18" s="54"/>
      <c r="AM18" s="52"/>
      <c r="AN18" s="53"/>
      <c r="AO18" s="54"/>
      <c r="AP18" s="52"/>
      <c r="AQ18" s="53"/>
      <c r="AR18" s="54"/>
      <c r="AS18" s="52"/>
      <c r="AT18" s="53"/>
      <c r="AU18" s="54"/>
      <c r="AV18" s="52"/>
      <c r="AW18" s="53"/>
      <c r="AX18" s="54"/>
      <c r="AY18" s="52"/>
      <c r="AZ18" s="53"/>
      <c r="BA18" s="54"/>
      <c r="BB18" s="52"/>
      <c r="BC18" s="53"/>
      <c r="BD18" s="54"/>
    </row>
    <row r="19" spans="1:56" ht="42" customHeight="1" x14ac:dyDescent="0.3">
      <c r="A19" s="23"/>
      <c r="B19" s="55"/>
      <c r="C19" s="224"/>
      <c r="D19" s="225"/>
      <c r="E19" s="226"/>
      <c r="F19" s="56"/>
      <c r="G19" s="57"/>
      <c r="H19" s="58"/>
      <c r="I19" s="59"/>
      <c r="J19" s="60"/>
      <c r="K19" s="61">
        <f>+I19*J19</f>
        <v>0</v>
      </c>
      <c r="L19" s="62"/>
      <c r="M19" s="63">
        <f t="shared" ref="M19:M20" si="4">+H19*L19</f>
        <v>0</v>
      </c>
      <c r="N19" s="64"/>
      <c r="O19" s="65">
        <f>((N19*N$24)+(N19*N$25)+(N19*N$26)+(N19*N$26*N$27))+N19</f>
        <v>0</v>
      </c>
      <c r="P19" s="66">
        <f>+N19*$H19</f>
        <v>0</v>
      </c>
      <c r="Q19" s="64"/>
      <c r="R19" s="65">
        <f>((Q19*Q$24)+(Q19*Q$25)+(Q19*Q$26)+(Q19*Q$26*Q$27))+Q19</f>
        <v>0</v>
      </c>
      <c r="S19" s="66">
        <f>+Q19*$H19</f>
        <v>0</v>
      </c>
      <c r="T19" s="64"/>
      <c r="U19" s="65">
        <f>((T19*T$24)+(T19*T$25)+(T19*T$26)+(T19*T$26*T$27))+T19</f>
        <v>0</v>
      </c>
      <c r="V19" s="66">
        <f>+T19*$H19</f>
        <v>0</v>
      </c>
      <c r="W19" s="64"/>
      <c r="X19" s="65">
        <f>((W19*W$24)+(W19*W$25)+(W19*W$26)+(W19*W$26*W$27))+W19</f>
        <v>0</v>
      </c>
      <c r="Y19" s="66">
        <f>+W19*$H19</f>
        <v>0</v>
      </c>
      <c r="Z19" s="23"/>
      <c r="AA19" s="68">
        <f t="shared" si="0"/>
        <v>0</v>
      </c>
      <c r="AB19" s="69">
        <f>(O19)*AA19</f>
        <v>0</v>
      </c>
      <c r="AC19" s="70">
        <f>((O19)-$J19)*($I19)</f>
        <v>0</v>
      </c>
      <c r="AD19" s="68">
        <f t="shared" si="1"/>
        <v>0</v>
      </c>
      <c r="AE19" s="69">
        <f>(R19)*AD19</f>
        <v>0</v>
      </c>
      <c r="AF19" s="70">
        <f>((R19)-$J19)*($I19)</f>
        <v>0</v>
      </c>
      <c r="AG19" s="68">
        <f t="shared" si="2"/>
        <v>0</v>
      </c>
      <c r="AH19" s="69">
        <f>(U19)*AG19</f>
        <v>0</v>
      </c>
      <c r="AI19" s="70">
        <f>((U19)-$J19)*($I19)</f>
        <v>0</v>
      </c>
      <c r="AJ19" s="68">
        <f t="shared" si="3"/>
        <v>0</v>
      </c>
      <c r="AK19" s="69">
        <f>(X19)*AJ19</f>
        <v>0</v>
      </c>
      <c r="AL19" s="70">
        <f>((X19)-$J19)*($I19)</f>
        <v>0</v>
      </c>
      <c r="AM19" s="68">
        <f>($H19-$I19)</f>
        <v>0</v>
      </c>
      <c r="AN19" s="69" t="e">
        <f>+AM19*(#REF!+#REF!)</f>
        <v>#REF!</v>
      </c>
      <c r="AO19" s="70" t="e">
        <f>((#REF!+#REF!)-J19)*(I19)</f>
        <v>#REF!</v>
      </c>
      <c r="AP19" s="68">
        <f>($H19-$I19)</f>
        <v>0</v>
      </c>
      <c r="AQ19" s="69" t="e">
        <f>+AP19*(#REF!+#REF!)</f>
        <v>#REF!</v>
      </c>
      <c r="AR19" s="70" t="e">
        <f>((#REF!+#REF!)-J19)*(I19)</f>
        <v>#REF!</v>
      </c>
      <c r="AS19" s="68">
        <f>($H19-$I19)</f>
        <v>0</v>
      </c>
      <c r="AT19" s="69" t="e">
        <f>+AS19*(#REF!+#REF!)</f>
        <v>#REF!</v>
      </c>
      <c r="AU19" s="70" t="e">
        <f>((#REF!+#REF!)-J19)*(I19)</f>
        <v>#REF!</v>
      </c>
      <c r="AV19" s="68">
        <f>($H19-$I19)</f>
        <v>0</v>
      </c>
      <c r="AW19" s="69" t="e">
        <f>+AV19*(#REF!+#REF!)</f>
        <v>#REF!</v>
      </c>
      <c r="AX19" s="70" t="e">
        <f>((#REF!+#REF!)-J19)*(I19)</f>
        <v>#REF!</v>
      </c>
      <c r="AY19" s="68">
        <f>($H19-$I19)</f>
        <v>0</v>
      </c>
      <c r="AZ19" s="69" t="e">
        <f>+AY19*(#REF!+#REF!)</f>
        <v>#REF!</v>
      </c>
      <c r="BA19" s="70" t="e">
        <f>((#REF!+#REF!)-J19)*(I19)</f>
        <v>#REF!</v>
      </c>
      <c r="BB19" s="68">
        <f>($H19-$I19)</f>
        <v>0</v>
      </c>
      <c r="BC19" s="69" t="e">
        <f>+BB19*(#REF!)</f>
        <v>#REF!</v>
      </c>
      <c r="BD19" s="70" t="e">
        <f>((#REF!)-J19)*I19</f>
        <v>#REF!</v>
      </c>
    </row>
    <row r="20" spans="1:56" ht="36.75" customHeight="1" x14ac:dyDescent="0.3">
      <c r="A20" s="23"/>
      <c r="B20" s="71"/>
      <c r="C20" s="224"/>
      <c r="D20" s="225"/>
      <c r="E20" s="226"/>
      <c r="F20" s="72"/>
      <c r="G20" s="57"/>
      <c r="H20" s="73"/>
      <c r="I20" s="59"/>
      <c r="J20" s="60"/>
      <c r="K20" s="61">
        <f>+I20*J20</f>
        <v>0</v>
      </c>
      <c r="L20" s="62"/>
      <c r="M20" s="63">
        <f t="shared" si="4"/>
        <v>0</v>
      </c>
      <c r="N20" s="64"/>
      <c r="O20" s="65">
        <f>((N20*N$24)+(N20*N$25)+(N20*N$26)+(N20*N$26*N$27))+N20</f>
        <v>0</v>
      </c>
      <c r="P20" s="66">
        <f>+N20*$H20</f>
        <v>0</v>
      </c>
      <c r="Q20" s="64"/>
      <c r="R20" s="65">
        <f>((Q20*Q$24)+(Q20*Q$25)+(Q20*Q$26)+(Q20*Q$26*Q$27))+Q20</f>
        <v>0</v>
      </c>
      <c r="S20" s="66">
        <f>+Q20*$H20</f>
        <v>0</v>
      </c>
      <c r="T20" s="64"/>
      <c r="U20" s="65">
        <f>((T20*T$24)+(T20*T$25)+(T20*T$26)+(T20*T$26*T$27))+T20</f>
        <v>0</v>
      </c>
      <c r="V20" s="66">
        <f>+T20*$H20</f>
        <v>0</v>
      </c>
      <c r="W20" s="64"/>
      <c r="X20" s="65">
        <f>((W20*W$24)+(W20*W$25)+(W20*W$26)+(W20*W$26*W$27))+W20</f>
        <v>0</v>
      </c>
      <c r="Y20" s="66">
        <f>+W20*$H20</f>
        <v>0</v>
      </c>
      <c r="Z20" s="23"/>
      <c r="AA20" s="68">
        <f t="shared" si="0"/>
        <v>0</v>
      </c>
      <c r="AB20" s="69">
        <f>(O20)*AA20</f>
        <v>0</v>
      </c>
      <c r="AC20" s="70">
        <f>((O20)-$J20)*($I20)</f>
        <v>0</v>
      </c>
      <c r="AD20" s="68">
        <f t="shared" si="1"/>
        <v>0</v>
      </c>
      <c r="AE20" s="69">
        <f>(R20)*AD20</f>
        <v>0</v>
      </c>
      <c r="AF20" s="70">
        <f>((R20)-$J20)*($I20)</f>
        <v>0</v>
      </c>
      <c r="AG20" s="68">
        <f t="shared" si="2"/>
        <v>0</v>
      </c>
      <c r="AH20" s="69">
        <f>(U20)*AG20</f>
        <v>0</v>
      </c>
      <c r="AI20" s="70">
        <f>((U20)-$J20)*($I20)</f>
        <v>0</v>
      </c>
      <c r="AJ20" s="68">
        <f t="shared" si="3"/>
        <v>0</v>
      </c>
      <c r="AK20" s="69">
        <f>(X20)*AJ20</f>
        <v>0</v>
      </c>
      <c r="AL20" s="70">
        <f>((X20)-$J20)*($I20)</f>
        <v>0</v>
      </c>
      <c r="AM20" s="68">
        <f>($H20-$I20)</f>
        <v>0</v>
      </c>
      <c r="AN20" s="69" t="e">
        <f>+AM20*(#REF!+#REF!)</f>
        <v>#REF!</v>
      </c>
      <c r="AO20" s="70" t="e">
        <f>((#REF!+#REF!)-J20)*(I20)</f>
        <v>#REF!</v>
      </c>
      <c r="AP20" s="68">
        <f>($H20-$I20)</f>
        <v>0</v>
      </c>
      <c r="AQ20" s="69" t="e">
        <f>+AP20*(#REF!+#REF!)</f>
        <v>#REF!</v>
      </c>
      <c r="AR20" s="70" t="e">
        <f>((#REF!+#REF!)-J20)*(I20)</f>
        <v>#REF!</v>
      </c>
      <c r="AS20" s="68">
        <f>($H20-$I20)</f>
        <v>0</v>
      </c>
      <c r="AT20" s="69" t="e">
        <f>+AS20*(#REF!+#REF!)</f>
        <v>#REF!</v>
      </c>
      <c r="AU20" s="70" t="e">
        <f>((#REF!+#REF!)-J20)*(I20)</f>
        <v>#REF!</v>
      </c>
      <c r="AV20" s="68">
        <f>($H20-$I20)</f>
        <v>0</v>
      </c>
      <c r="AW20" s="69" t="e">
        <f>+AV20*(#REF!+#REF!)</f>
        <v>#REF!</v>
      </c>
      <c r="AX20" s="70" t="e">
        <f>((#REF!+#REF!)-J20)*(I20)</f>
        <v>#REF!</v>
      </c>
      <c r="AY20" s="68">
        <f>($H20-$I20)</f>
        <v>0</v>
      </c>
      <c r="AZ20" s="69" t="e">
        <f>+AY20*(#REF!+#REF!)</f>
        <v>#REF!</v>
      </c>
      <c r="BA20" s="70" t="e">
        <f>((#REF!+#REF!)-J20)*(I20)</f>
        <v>#REF!</v>
      </c>
      <c r="BB20" s="68">
        <f>($H20-$I20)</f>
        <v>0</v>
      </c>
      <c r="BC20" s="69" t="e">
        <f>+BB20*(#REF!)</f>
        <v>#REF!</v>
      </c>
      <c r="BD20" s="70" t="e">
        <f>((#REF!)-J20)*I20</f>
        <v>#REF!</v>
      </c>
    </row>
    <row r="21" spans="1:56" ht="55.5" customHeight="1" x14ac:dyDescent="0.3">
      <c r="A21" s="38"/>
      <c r="B21" s="39"/>
      <c r="C21" s="227"/>
      <c r="D21" s="228"/>
      <c r="E21" s="229"/>
      <c r="F21" s="40"/>
      <c r="G21" s="42"/>
      <c r="H21" s="74"/>
      <c r="I21" s="44"/>
      <c r="J21" s="45"/>
      <c r="K21" s="46">
        <f>+SUM(K22)</f>
        <v>0</v>
      </c>
      <c r="L21" s="47"/>
      <c r="M21" s="46">
        <f>+SUM(M22)</f>
        <v>0</v>
      </c>
      <c r="N21" s="75"/>
      <c r="O21" s="76"/>
      <c r="P21" s="77">
        <f>+SUM(P22:P22)</f>
        <v>0</v>
      </c>
      <c r="Q21" s="75"/>
      <c r="R21" s="76"/>
      <c r="S21" s="77">
        <f>+SUM(S22:S22)</f>
        <v>0</v>
      </c>
      <c r="T21" s="75"/>
      <c r="U21" s="76">
        <f>+SUM(U22:U22)</f>
        <v>0</v>
      </c>
      <c r="V21" s="77">
        <f>+SUM(V22:V22)</f>
        <v>0</v>
      </c>
      <c r="W21" s="75"/>
      <c r="X21" s="76">
        <f>+SUM(X22:X22)</f>
        <v>0</v>
      </c>
      <c r="Y21" s="77">
        <f>+SUM(Y22:Y22)</f>
        <v>0</v>
      </c>
      <c r="Z21" s="51"/>
      <c r="AA21" s="68"/>
      <c r="AB21" s="53"/>
      <c r="AC21" s="70"/>
      <c r="AD21" s="68"/>
      <c r="AE21" s="53"/>
      <c r="AF21" s="54"/>
      <c r="AG21" s="68"/>
      <c r="AH21" s="53"/>
      <c r="AI21" s="54"/>
      <c r="AJ21" s="68"/>
      <c r="AK21" s="53"/>
      <c r="AL21" s="54"/>
      <c r="AM21" s="52"/>
      <c r="AN21" s="53"/>
      <c r="AO21" s="54"/>
      <c r="AP21" s="52"/>
      <c r="AQ21" s="53"/>
      <c r="AR21" s="54"/>
      <c r="AS21" s="52"/>
      <c r="AT21" s="53"/>
      <c r="AU21" s="54"/>
      <c r="AV21" s="52"/>
      <c r="AW21" s="53"/>
      <c r="AX21" s="54"/>
      <c r="AY21" s="52"/>
      <c r="AZ21" s="53"/>
      <c r="BA21" s="54"/>
      <c r="BB21" s="52"/>
      <c r="BC21" s="53"/>
      <c r="BD21" s="54"/>
    </row>
    <row r="22" spans="1:56" ht="59.25" customHeight="1" thickBot="1" x14ac:dyDescent="0.35">
      <c r="A22" s="23"/>
      <c r="B22" s="78"/>
      <c r="C22" s="224"/>
      <c r="D22" s="225"/>
      <c r="E22" s="226"/>
      <c r="F22" s="79"/>
      <c r="G22" s="80"/>
      <c r="H22" s="81"/>
      <c r="I22" s="59"/>
      <c r="J22" s="60"/>
      <c r="K22" s="61">
        <f>+I22*J22</f>
        <v>0</v>
      </c>
      <c r="L22" s="62"/>
      <c r="M22" s="63">
        <f>+H22*L22</f>
        <v>0</v>
      </c>
      <c r="N22" s="67"/>
      <c r="O22" s="82">
        <f>((N22*N$24)+(N22*N$25)+(N22*N$26)+(N22*N$26*N$27))+N22</f>
        <v>0</v>
      </c>
      <c r="P22" s="83">
        <f>+N22*$H22</f>
        <v>0</v>
      </c>
      <c r="Q22" s="84"/>
      <c r="R22" s="82">
        <f>((Q22*Q$24)+(Q22*Q$25)+(Q22*Q$26)+(Q22*Q$26*Q$27))+Q22</f>
        <v>0</v>
      </c>
      <c r="S22" s="83">
        <f>+Q22*$H22</f>
        <v>0</v>
      </c>
      <c r="T22" s="84"/>
      <c r="U22" s="82">
        <f>((T22*T$24)+(T22*T$25)+(T22*T$26)+(T22*T$26*T$27))+T22</f>
        <v>0</v>
      </c>
      <c r="V22" s="83">
        <f>+T22*$H22</f>
        <v>0</v>
      </c>
      <c r="W22" s="84"/>
      <c r="X22" s="82">
        <f>((W22*W$24)+(W22*W$25)+(W22*W$26)+(W22*W$26*W$27))+W22</f>
        <v>0</v>
      </c>
      <c r="Y22" s="83">
        <f>+W22*$H22</f>
        <v>0</v>
      </c>
      <c r="Z22" s="23"/>
      <c r="AA22" s="68">
        <f t="shared" si="0"/>
        <v>0</v>
      </c>
      <c r="AB22" s="69">
        <f>(O22)*AA22</f>
        <v>0</v>
      </c>
      <c r="AC22" s="70">
        <f>((O22)-$J22)*($I22)</f>
        <v>0</v>
      </c>
      <c r="AD22" s="68">
        <f t="shared" si="1"/>
        <v>0</v>
      </c>
      <c r="AE22" s="69">
        <f>(R22)*AD22</f>
        <v>0</v>
      </c>
      <c r="AF22" s="70">
        <f>((R22)-$J22)*($I22)</f>
        <v>0</v>
      </c>
      <c r="AG22" s="68">
        <f t="shared" si="2"/>
        <v>0</v>
      </c>
      <c r="AH22" s="69">
        <f>(U22)*AG22</f>
        <v>0</v>
      </c>
      <c r="AI22" s="70">
        <f>((U22)-$J22)*($I22)</f>
        <v>0</v>
      </c>
      <c r="AJ22" s="68">
        <f t="shared" si="3"/>
        <v>0</v>
      </c>
      <c r="AK22" s="69">
        <f>(X22)*AJ22</f>
        <v>0</v>
      </c>
      <c r="AL22" s="70">
        <f>((X22)-$J22)*($I22)</f>
        <v>0</v>
      </c>
      <c r="AM22" s="68">
        <f>($H22-$I22)</f>
        <v>0</v>
      </c>
      <c r="AN22" s="69" t="e">
        <f>+AM22*(#REF!+#REF!)</f>
        <v>#REF!</v>
      </c>
      <c r="AO22" s="70" t="e">
        <f>((#REF!+#REF!)-J22)*(I22)</f>
        <v>#REF!</v>
      </c>
      <c r="AP22" s="68">
        <f>($H22-$I22)</f>
        <v>0</v>
      </c>
      <c r="AQ22" s="69" t="e">
        <f>+AP22*(#REF!+#REF!)</f>
        <v>#REF!</v>
      </c>
      <c r="AR22" s="70" t="e">
        <f>((#REF!+#REF!)-J22)*(I22)</f>
        <v>#REF!</v>
      </c>
      <c r="AS22" s="68">
        <f>($H22-$I22)</f>
        <v>0</v>
      </c>
      <c r="AT22" s="69" t="e">
        <f>+AS22*(#REF!+#REF!)</f>
        <v>#REF!</v>
      </c>
      <c r="AU22" s="70" t="e">
        <f>((#REF!+#REF!)-J22)*(I22)</f>
        <v>#REF!</v>
      </c>
      <c r="AV22" s="68">
        <f>($H22-$I22)</f>
        <v>0</v>
      </c>
      <c r="AW22" s="69" t="e">
        <f>+AV22*(#REF!+#REF!)</f>
        <v>#REF!</v>
      </c>
      <c r="AX22" s="70" t="e">
        <f>((#REF!+#REF!)-J22)*(I22)</f>
        <v>#REF!</v>
      </c>
      <c r="AY22" s="68">
        <f>($H22-$I22)</f>
        <v>0</v>
      </c>
      <c r="AZ22" s="69" t="e">
        <f>+AY22*(#REF!+#REF!)</f>
        <v>#REF!</v>
      </c>
      <c r="BA22" s="70" t="e">
        <f>((#REF!+#REF!)-J22)*(I22)</f>
        <v>#REF!</v>
      </c>
      <c r="BB22" s="68">
        <f>($H22-$I22)</f>
        <v>0</v>
      </c>
      <c r="BC22" s="69" t="e">
        <f>+BB22*(#REF!)</f>
        <v>#REF!</v>
      </c>
      <c r="BD22" s="70" t="e">
        <f>((#REF!)-J22)*I22</f>
        <v>#REF!</v>
      </c>
    </row>
    <row r="23" spans="1:56" ht="23.4" x14ac:dyDescent="0.3">
      <c r="A23" s="11"/>
      <c r="B23" s="252" t="s">
        <v>27</v>
      </c>
      <c r="C23" s="253"/>
      <c r="D23" s="253"/>
      <c r="E23" s="253"/>
      <c r="F23" s="253"/>
      <c r="G23" s="253"/>
      <c r="H23" s="85"/>
      <c r="I23" s="86"/>
      <c r="J23" s="87"/>
      <c r="K23" s="88">
        <f>+K12</f>
        <v>0</v>
      </c>
      <c r="L23" s="89"/>
      <c r="M23" s="88">
        <f>+M12</f>
        <v>0</v>
      </c>
      <c r="N23" s="90"/>
      <c r="O23" s="91"/>
      <c r="P23" s="88">
        <f>+P12</f>
        <v>970000</v>
      </c>
      <c r="Q23" s="92"/>
      <c r="R23" s="93"/>
      <c r="S23" s="88">
        <f>+S12</f>
        <v>0</v>
      </c>
      <c r="T23" s="94"/>
      <c r="U23" s="92"/>
      <c r="V23" s="88">
        <f>+V12</f>
        <v>0</v>
      </c>
      <c r="W23" s="90"/>
      <c r="X23" s="93"/>
      <c r="Y23" s="88">
        <f>+Y12</f>
        <v>0</v>
      </c>
      <c r="Z23" s="1"/>
      <c r="AA23" s="52"/>
      <c r="AB23" s="1"/>
      <c r="AC23" s="95"/>
      <c r="AD23" s="52"/>
      <c r="AE23" s="1"/>
      <c r="AF23" s="95"/>
      <c r="AG23" s="52"/>
      <c r="AH23" s="1"/>
      <c r="AI23" s="95"/>
      <c r="AJ23" s="52"/>
      <c r="AK23" s="1"/>
      <c r="AL23" s="95"/>
      <c r="AM23" s="52"/>
      <c r="AN23" s="69" t="e">
        <f>+AM23*(#REF!+#REF!)</f>
        <v>#REF!</v>
      </c>
      <c r="AO23" s="95"/>
      <c r="AP23" s="52"/>
      <c r="AQ23" s="1"/>
      <c r="AR23" s="95"/>
      <c r="AS23" s="52"/>
      <c r="AT23" s="1"/>
      <c r="AU23" s="95"/>
      <c r="AV23" s="52"/>
      <c r="AW23" s="1"/>
      <c r="AX23" s="70" t="e">
        <f>((#REF!+#REF!)-J23)*(I23)</f>
        <v>#REF!</v>
      </c>
      <c r="AY23" s="52"/>
      <c r="AZ23" s="1"/>
      <c r="BA23" s="95"/>
      <c r="BB23" s="52"/>
      <c r="BC23" s="1"/>
      <c r="BD23" s="95"/>
    </row>
    <row r="24" spans="1:56" ht="23.4" x14ac:dyDescent="0.3">
      <c r="A24" s="11"/>
      <c r="B24" s="239" t="s">
        <v>28</v>
      </c>
      <c r="C24" s="240"/>
      <c r="D24" s="240"/>
      <c r="E24" s="240"/>
      <c r="F24" s="240"/>
      <c r="G24" s="240"/>
      <c r="H24" s="96"/>
      <c r="I24" s="97"/>
      <c r="J24" s="98"/>
      <c r="K24" s="99"/>
      <c r="L24" s="100"/>
      <c r="M24" s="101"/>
      <c r="N24" s="102">
        <v>0</v>
      </c>
      <c r="O24" s="103"/>
      <c r="P24" s="104">
        <f>+N24*$P$23</f>
        <v>0</v>
      </c>
      <c r="Q24" s="103">
        <v>0</v>
      </c>
      <c r="R24" s="103"/>
      <c r="S24" s="104">
        <f>(Q24*$S$23)</f>
        <v>0</v>
      </c>
      <c r="T24" s="105">
        <v>0</v>
      </c>
      <c r="U24" s="103"/>
      <c r="V24" s="104">
        <f>(T24*V23)</f>
        <v>0</v>
      </c>
      <c r="W24" s="102">
        <v>0</v>
      </c>
      <c r="X24" s="103"/>
      <c r="Y24" s="104">
        <f>(W24*$Y$23)</f>
        <v>0</v>
      </c>
      <c r="Z24" s="1"/>
      <c r="AA24" s="52"/>
      <c r="AB24" s="1"/>
      <c r="AC24" s="106"/>
      <c r="AD24" s="52"/>
      <c r="AE24" s="1"/>
      <c r="AF24" s="106"/>
      <c r="AG24" s="52"/>
      <c r="AH24" s="1"/>
      <c r="AI24" s="106"/>
      <c r="AJ24" s="52"/>
      <c r="AK24" s="1"/>
      <c r="AL24" s="106"/>
      <c r="AM24" s="52"/>
      <c r="AN24" s="1"/>
      <c r="AO24" s="106"/>
      <c r="AP24" s="52"/>
      <c r="AQ24" s="1"/>
      <c r="AR24" s="106"/>
      <c r="AS24" s="52"/>
      <c r="AT24" s="1"/>
      <c r="AU24" s="106"/>
      <c r="AV24" s="52"/>
      <c r="AW24" s="1"/>
      <c r="AX24" s="106"/>
      <c r="AY24" s="52"/>
      <c r="AZ24" s="1"/>
      <c r="BA24" s="106"/>
      <c r="BB24" s="52"/>
      <c r="BC24" s="1"/>
      <c r="BD24" s="106"/>
    </row>
    <row r="25" spans="1:56" ht="23.4" x14ac:dyDescent="0.3">
      <c r="A25" s="11"/>
      <c r="B25" s="239" t="s">
        <v>29</v>
      </c>
      <c r="C25" s="240"/>
      <c r="D25" s="240"/>
      <c r="E25" s="240"/>
      <c r="F25" s="240"/>
      <c r="G25" s="240"/>
      <c r="H25" s="107"/>
      <c r="I25" s="108"/>
      <c r="J25" s="109"/>
      <c r="K25" s="110"/>
      <c r="L25" s="111"/>
      <c r="M25" s="104"/>
      <c r="N25" s="102">
        <v>0</v>
      </c>
      <c r="O25" s="103"/>
      <c r="P25" s="104">
        <f>+N25*$P$23</f>
        <v>0</v>
      </c>
      <c r="Q25" s="103">
        <v>0</v>
      </c>
      <c r="R25" s="103"/>
      <c r="S25" s="104">
        <f t="shared" ref="S25:S26" si="5">(Q25*$S$23)</f>
        <v>0</v>
      </c>
      <c r="T25" s="105">
        <v>0</v>
      </c>
      <c r="U25" s="103"/>
      <c r="V25" s="104">
        <f>(T25*V23)</f>
        <v>0</v>
      </c>
      <c r="W25" s="102">
        <v>0</v>
      </c>
      <c r="X25" s="103"/>
      <c r="Y25" s="104">
        <f t="shared" ref="Y25:Y26" si="6">(W25*$Y$23)</f>
        <v>0</v>
      </c>
      <c r="Z25" s="1"/>
      <c r="AA25" s="52"/>
      <c r="AB25" s="1"/>
      <c r="AC25" s="106"/>
      <c r="AD25" s="52"/>
      <c r="AE25" s="1"/>
      <c r="AF25" s="106"/>
      <c r="AG25" s="52"/>
      <c r="AH25" s="1"/>
      <c r="AI25" s="106"/>
      <c r="AJ25" s="52"/>
      <c r="AK25" s="1"/>
      <c r="AL25" s="106"/>
      <c r="AM25" s="52"/>
      <c r="AN25" s="1"/>
      <c r="AO25" s="106"/>
      <c r="AP25" s="52"/>
      <c r="AQ25" s="1"/>
      <c r="AR25" s="106"/>
      <c r="AS25" s="52"/>
      <c r="AT25" s="1"/>
      <c r="AU25" s="106"/>
      <c r="AV25" s="52"/>
      <c r="AW25" s="1"/>
      <c r="AX25" s="106"/>
      <c r="AY25" s="52"/>
      <c r="AZ25" s="1"/>
      <c r="BA25" s="106"/>
      <c r="BB25" s="52"/>
      <c r="BC25" s="1"/>
      <c r="BD25" s="106"/>
    </row>
    <row r="26" spans="1:56" ht="25.5" customHeight="1" x14ac:dyDescent="0.3">
      <c r="A26" s="11"/>
      <c r="B26" s="239" t="s">
        <v>30</v>
      </c>
      <c r="C26" s="240"/>
      <c r="D26" s="240"/>
      <c r="E26" s="240"/>
      <c r="F26" s="240"/>
      <c r="G26" s="240"/>
      <c r="H26" s="107"/>
      <c r="I26" s="108"/>
      <c r="J26" s="112"/>
      <c r="K26" s="113"/>
      <c r="L26" s="111"/>
      <c r="M26" s="104"/>
      <c r="N26" s="102">
        <v>0</v>
      </c>
      <c r="O26" s="103"/>
      <c r="P26" s="104">
        <f t="shared" ref="P26" si="7">+N26*$P$23</f>
        <v>0</v>
      </c>
      <c r="Q26" s="103">
        <v>0</v>
      </c>
      <c r="R26" s="103"/>
      <c r="S26" s="104">
        <f t="shared" si="5"/>
        <v>0</v>
      </c>
      <c r="T26" s="105">
        <v>0</v>
      </c>
      <c r="U26" s="103"/>
      <c r="V26" s="104">
        <f>+T26*V23</f>
        <v>0</v>
      </c>
      <c r="W26" s="102">
        <v>0</v>
      </c>
      <c r="X26" s="103"/>
      <c r="Y26" s="104">
        <f t="shared" si="6"/>
        <v>0</v>
      </c>
      <c r="Z26" s="1"/>
      <c r="AA26" s="114" t="s">
        <v>31</v>
      </c>
      <c r="AB26" s="115">
        <f>+SUM(AB14:AB22)</f>
        <v>0</v>
      </c>
      <c r="AC26" s="116">
        <f>+SUM(AC14:AC22)</f>
        <v>0</v>
      </c>
      <c r="AD26" s="114" t="s">
        <v>31</v>
      </c>
      <c r="AE26" s="115">
        <f>+SUM(AE14:AE22)</f>
        <v>0</v>
      </c>
      <c r="AF26" s="116">
        <f>+SUM(AF14:AF22)</f>
        <v>0</v>
      </c>
      <c r="AG26" s="114" t="s">
        <v>31</v>
      </c>
      <c r="AH26" s="115">
        <f>+SUM(AH14:AH22)</f>
        <v>0</v>
      </c>
      <c r="AI26" s="116">
        <f>+SUM(AI14:AI22)</f>
        <v>0</v>
      </c>
      <c r="AJ26" s="114" t="s">
        <v>31</v>
      </c>
      <c r="AK26" s="115">
        <f>+SUM(AK17:AK17)</f>
        <v>0</v>
      </c>
      <c r="AL26" s="117">
        <f>+SUM(AL17:AL17)</f>
        <v>0</v>
      </c>
      <c r="AM26" s="114" t="s">
        <v>31</v>
      </c>
      <c r="AN26" s="115" t="e">
        <f>+SUM(AN17:AN17)</f>
        <v>#REF!</v>
      </c>
      <c r="AO26" s="117" t="e">
        <f>+SUM(AO17:AO17)</f>
        <v>#REF!</v>
      </c>
      <c r="AP26" s="114" t="s">
        <v>31</v>
      </c>
      <c r="AQ26" s="115" t="e">
        <f>+SUM(AQ17:AQ17)</f>
        <v>#REF!</v>
      </c>
      <c r="AR26" s="117" t="e">
        <f>+SUM(AR17:AR17)</f>
        <v>#REF!</v>
      </c>
      <c r="AS26" s="114" t="s">
        <v>31</v>
      </c>
      <c r="AT26" s="115" t="e">
        <f>+SUM(AT17:AT17)</f>
        <v>#REF!</v>
      </c>
      <c r="AU26" s="117" t="e">
        <f>+SUM(AU17:AU17)</f>
        <v>#REF!</v>
      </c>
      <c r="AV26" s="114" t="s">
        <v>31</v>
      </c>
      <c r="AW26" s="115" t="e">
        <f>+SUM(AW17:AW17)</f>
        <v>#REF!</v>
      </c>
      <c r="AX26" s="117" t="e">
        <f>+SUM(AX17:AX17)</f>
        <v>#REF!</v>
      </c>
      <c r="AY26" s="114" t="s">
        <v>31</v>
      </c>
      <c r="AZ26" s="115" t="e">
        <f>+SUM(AZ17:AZ17)</f>
        <v>#REF!</v>
      </c>
      <c r="BA26" s="117" t="e">
        <f>+SUM(BA17:BA17)</f>
        <v>#REF!</v>
      </c>
      <c r="BB26" s="114" t="s">
        <v>31</v>
      </c>
      <c r="BC26" s="115" t="e">
        <f>+SUM(BC17:BC17)</f>
        <v>#REF!</v>
      </c>
      <c r="BD26" s="117" t="e">
        <f>+SUM(BD17:BD17)</f>
        <v>#REF!</v>
      </c>
    </row>
    <row r="27" spans="1:56" ht="23.4" x14ac:dyDescent="0.3">
      <c r="A27" s="11"/>
      <c r="B27" s="239" t="s">
        <v>32</v>
      </c>
      <c r="C27" s="240"/>
      <c r="D27" s="240"/>
      <c r="E27" s="240"/>
      <c r="F27" s="240"/>
      <c r="G27" s="240"/>
      <c r="H27" s="107"/>
      <c r="I27" s="108"/>
      <c r="J27" s="112"/>
      <c r="K27" s="110"/>
      <c r="L27" s="111"/>
      <c r="M27" s="104"/>
      <c r="N27" s="102">
        <v>0.19</v>
      </c>
      <c r="O27" s="103"/>
      <c r="P27" s="104">
        <f>((N27*N26)*P23)</f>
        <v>0</v>
      </c>
      <c r="Q27" s="103">
        <v>0.19</v>
      </c>
      <c r="R27" s="103"/>
      <c r="S27" s="104">
        <f>((Q27*Q26)*S23)</f>
        <v>0</v>
      </c>
      <c r="T27" s="105">
        <v>0.19</v>
      </c>
      <c r="U27" s="103"/>
      <c r="V27" s="104">
        <f>+T27*V26</f>
        <v>0</v>
      </c>
      <c r="W27" s="102">
        <v>0.19</v>
      </c>
      <c r="X27" s="103"/>
      <c r="Y27" s="104">
        <f>((W27*W26)*Y23)</f>
        <v>0</v>
      </c>
      <c r="Z27" s="1"/>
      <c r="AA27" s="118"/>
      <c r="AB27" s="1"/>
      <c r="AD27" s="118"/>
      <c r="AE27" s="1"/>
      <c r="AF27" s="106"/>
      <c r="AG27" s="118"/>
      <c r="AH27" s="1"/>
      <c r="AI27" s="106"/>
      <c r="AJ27" s="118"/>
      <c r="AK27" s="1"/>
      <c r="AL27" s="106"/>
      <c r="AM27" s="118"/>
      <c r="AN27" s="1"/>
      <c r="AO27" s="106"/>
      <c r="AP27" s="118"/>
      <c r="AQ27" s="1"/>
      <c r="AS27" s="118"/>
      <c r="AT27" s="1"/>
      <c r="AU27" s="106"/>
      <c r="AV27" s="118"/>
      <c r="AW27" s="1"/>
      <c r="AX27" s="106"/>
      <c r="AY27" s="118"/>
      <c r="AZ27" s="1"/>
      <c r="BA27" s="106"/>
      <c r="BB27" s="118"/>
      <c r="BC27" s="1"/>
      <c r="BD27" s="106"/>
    </row>
    <row r="28" spans="1:56" ht="24" thickBot="1" x14ac:dyDescent="0.35">
      <c r="A28" s="11"/>
      <c r="B28" s="241" t="s">
        <v>33</v>
      </c>
      <c r="C28" s="242"/>
      <c r="D28" s="242"/>
      <c r="E28" s="242"/>
      <c r="F28" s="242"/>
      <c r="G28" s="242"/>
      <c r="H28" s="107"/>
      <c r="I28" s="119"/>
      <c r="J28" s="120"/>
      <c r="K28" s="121"/>
      <c r="L28" s="122"/>
      <c r="M28" s="121"/>
      <c r="N28" s="102">
        <v>0</v>
      </c>
      <c r="O28" s="103"/>
      <c r="P28" s="104">
        <f>(N28*P23)</f>
        <v>0</v>
      </c>
      <c r="Q28" s="103">
        <v>0</v>
      </c>
      <c r="R28" s="103"/>
      <c r="S28" s="104">
        <f>(Q28*S23)</f>
        <v>0</v>
      </c>
      <c r="T28" s="105"/>
      <c r="U28" s="103"/>
      <c r="V28" s="104"/>
      <c r="W28" s="102">
        <v>0</v>
      </c>
      <c r="X28" s="103"/>
      <c r="Y28" s="104">
        <f>(W28*Y23)</f>
        <v>0</v>
      </c>
      <c r="Z28" s="1"/>
      <c r="AA28" s="118"/>
      <c r="AB28" s="1"/>
      <c r="AC28" s="106"/>
      <c r="AD28" s="118"/>
      <c r="AE28" s="1"/>
      <c r="AF28" s="106"/>
      <c r="AG28" s="118"/>
      <c r="AH28" s="1"/>
      <c r="AI28" s="106"/>
      <c r="AJ28" s="118"/>
      <c r="AK28" s="1"/>
      <c r="AL28" s="106"/>
      <c r="AM28" s="118"/>
      <c r="AN28" s="1"/>
      <c r="AO28" s="106"/>
      <c r="AP28" s="118"/>
      <c r="AQ28" s="1"/>
      <c r="AR28" s="106"/>
      <c r="AS28" s="118"/>
      <c r="AT28" s="1"/>
      <c r="AU28" s="106"/>
      <c r="AV28" s="118"/>
      <c r="AW28" s="1"/>
      <c r="AX28" s="106"/>
      <c r="AY28" s="118"/>
      <c r="AZ28" s="1"/>
      <c r="BA28" s="123"/>
      <c r="BB28" s="118"/>
      <c r="BC28" s="1"/>
      <c r="BD28" s="123"/>
    </row>
    <row r="29" spans="1:56" ht="29.4" thickBot="1" x14ac:dyDescent="0.35">
      <c r="A29" s="124"/>
      <c r="B29" s="243" t="s">
        <v>34</v>
      </c>
      <c r="C29" s="244"/>
      <c r="D29" s="244"/>
      <c r="E29" s="244"/>
      <c r="F29" s="244"/>
      <c r="G29" s="244"/>
      <c r="H29" s="245"/>
      <c r="I29" s="125"/>
      <c r="J29" s="126"/>
      <c r="K29" s="127">
        <f>SUM(K23:K28)</f>
        <v>0</v>
      </c>
      <c r="L29" s="128"/>
      <c r="M29" s="129">
        <f>+M12</f>
        <v>0</v>
      </c>
      <c r="N29" s="127"/>
      <c r="O29" s="127"/>
      <c r="P29" s="130">
        <f>SUM(P23:P28)</f>
        <v>970000</v>
      </c>
      <c r="Q29" s="127"/>
      <c r="R29" s="127"/>
      <c r="S29" s="130">
        <f>SUM(S23:S28)</f>
        <v>0</v>
      </c>
      <c r="T29" s="131"/>
      <c r="U29" s="127"/>
      <c r="V29" s="130">
        <f>SUM(V23:V28)</f>
        <v>0</v>
      </c>
      <c r="W29" s="132"/>
      <c r="X29" s="127"/>
      <c r="Y29" s="130">
        <f>SUM(Y23:Y28)</f>
        <v>0</v>
      </c>
      <c r="Z29" s="5"/>
      <c r="AA29" s="133"/>
      <c r="AB29" s="5" t="s">
        <v>35</v>
      </c>
      <c r="AC29" s="180">
        <f>+N30</f>
        <v>970000</v>
      </c>
      <c r="AD29" s="133"/>
      <c r="AE29" s="5" t="s">
        <v>35</v>
      </c>
      <c r="AF29" s="180">
        <f>+Q30</f>
        <v>0</v>
      </c>
      <c r="AG29" s="133"/>
      <c r="AH29" s="5" t="s">
        <v>35</v>
      </c>
      <c r="AI29" s="180">
        <f>+T30</f>
        <v>0</v>
      </c>
      <c r="AJ29" s="133"/>
      <c r="AK29" s="5" t="s">
        <v>35</v>
      </c>
      <c r="AL29" s="180">
        <f>+W30</f>
        <v>0</v>
      </c>
      <c r="AM29" s="133"/>
      <c r="AN29" s="5" t="s">
        <v>35</v>
      </c>
      <c r="AO29" s="134" t="e">
        <f>+#REF!</f>
        <v>#REF!</v>
      </c>
      <c r="AP29" s="133"/>
      <c r="AQ29" s="5" t="s">
        <v>35</v>
      </c>
      <c r="AR29" s="134" t="e">
        <f>+#REF!</f>
        <v>#REF!</v>
      </c>
      <c r="AS29" s="133"/>
      <c r="AT29" s="5" t="s">
        <v>35</v>
      </c>
      <c r="AU29" s="134" t="e">
        <f>+#REF!</f>
        <v>#REF!</v>
      </c>
      <c r="AV29" s="133"/>
      <c r="AW29" s="5" t="s">
        <v>35</v>
      </c>
      <c r="AX29" s="134" t="e">
        <f>+#REF!</f>
        <v>#REF!</v>
      </c>
      <c r="AY29" s="133"/>
      <c r="AZ29" s="5" t="s">
        <v>35</v>
      </c>
      <c r="BA29" s="134" t="e">
        <f>+#REF!</f>
        <v>#REF!</v>
      </c>
      <c r="BB29" s="133"/>
      <c r="BC29" s="5" t="s">
        <v>35</v>
      </c>
      <c r="BD29" s="134" t="e">
        <f>+#REF!</f>
        <v>#REF!</v>
      </c>
    </row>
    <row r="30" spans="1:56" s="139" customFormat="1" ht="58.5" customHeight="1" thickBot="1" x14ac:dyDescent="0.7">
      <c r="A30" s="135"/>
      <c r="B30" s="246" t="s">
        <v>36</v>
      </c>
      <c r="C30" s="247"/>
      <c r="D30" s="247"/>
      <c r="E30" s="247"/>
      <c r="F30" s="247"/>
      <c r="G30" s="247"/>
      <c r="H30" s="248"/>
      <c r="I30" s="249">
        <f>+K29</f>
        <v>0</v>
      </c>
      <c r="J30" s="250"/>
      <c r="K30" s="251"/>
      <c r="L30" s="249">
        <f>+M29</f>
        <v>0</v>
      </c>
      <c r="M30" s="251"/>
      <c r="N30" s="249">
        <f>+P29</f>
        <v>970000</v>
      </c>
      <c r="O30" s="250"/>
      <c r="P30" s="251"/>
      <c r="Q30" s="249">
        <f>+S29</f>
        <v>0</v>
      </c>
      <c r="R30" s="250"/>
      <c r="S30" s="251"/>
      <c r="T30" s="249">
        <f>+V29</f>
        <v>0</v>
      </c>
      <c r="U30" s="250"/>
      <c r="V30" s="251"/>
      <c r="W30" s="249">
        <f>+Y29</f>
        <v>0</v>
      </c>
      <c r="X30" s="250"/>
      <c r="Y30" s="251"/>
      <c r="Z30" s="136"/>
      <c r="AA30" s="137"/>
      <c r="AB30" s="136" t="s">
        <v>37</v>
      </c>
      <c r="AC30" s="138">
        <f>+$K$29</f>
        <v>0</v>
      </c>
      <c r="AD30" s="137"/>
      <c r="AE30" s="136" t="s">
        <v>37</v>
      </c>
      <c r="AF30" s="138">
        <f>+$K$29</f>
        <v>0</v>
      </c>
      <c r="AG30" s="137"/>
      <c r="AH30" s="136" t="s">
        <v>37</v>
      </c>
      <c r="AI30" s="138">
        <f>+$K$29</f>
        <v>0</v>
      </c>
      <c r="AJ30" s="137"/>
      <c r="AK30" s="136" t="s">
        <v>37</v>
      </c>
      <c r="AL30" s="138">
        <f>+$K$29</f>
        <v>0</v>
      </c>
      <c r="AM30" s="137"/>
      <c r="AN30" s="136" t="s">
        <v>37</v>
      </c>
      <c r="AO30" s="138">
        <f>+$K$29</f>
        <v>0</v>
      </c>
      <c r="AP30" s="137"/>
      <c r="AQ30" s="136" t="s">
        <v>37</v>
      </c>
      <c r="AR30" s="138">
        <f>+$K$29</f>
        <v>0</v>
      </c>
      <c r="AS30" s="137"/>
      <c r="AT30" s="136" t="s">
        <v>37</v>
      </c>
      <c r="AU30" s="138">
        <f>+$K$29</f>
        <v>0</v>
      </c>
      <c r="AV30" s="137"/>
      <c r="AW30" s="136" t="s">
        <v>37</v>
      </c>
      <c r="AX30" s="138">
        <f>+$K$29</f>
        <v>0</v>
      </c>
      <c r="AY30" s="137"/>
      <c r="AZ30" s="136" t="s">
        <v>37</v>
      </c>
      <c r="BA30" s="138">
        <f>+$K$29</f>
        <v>0</v>
      </c>
      <c r="BB30" s="137"/>
      <c r="BC30" s="136" t="s">
        <v>37</v>
      </c>
      <c r="BD30" s="138">
        <f>+$K$29</f>
        <v>0</v>
      </c>
    </row>
    <row r="31" spans="1:56" ht="31.2" x14ac:dyDescent="0.3">
      <c r="A31" s="5"/>
      <c r="B31" s="140"/>
      <c r="C31" s="140"/>
      <c r="D31" s="140"/>
      <c r="E31" s="140"/>
      <c r="F31" s="140"/>
      <c r="G31" s="140"/>
      <c r="H31" s="140"/>
      <c r="I31" s="141"/>
      <c r="J31" s="142"/>
      <c r="K31" s="143"/>
      <c r="L31" s="144"/>
      <c r="M31" s="145"/>
      <c r="O31" s="146"/>
      <c r="P31" s="147"/>
      <c r="S31" s="148"/>
      <c r="T31" s="146"/>
      <c r="U31" s="149"/>
      <c r="V31" s="149"/>
      <c r="X31" s="146"/>
      <c r="Y31" s="146"/>
      <c r="Z31" s="5"/>
      <c r="AA31" s="150"/>
      <c r="AB31" s="151"/>
      <c r="AC31" s="152">
        <f>+AC29-AC30</f>
        <v>970000</v>
      </c>
      <c r="AD31" s="150"/>
      <c r="AE31" s="151"/>
      <c r="AF31" s="152">
        <f>+AF29-AF30</f>
        <v>0</v>
      </c>
      <c r="AG31" s="150"/>
      <c r="AH31" s="151"/>
      <c r="AI31" s="152">
        <f>+AI29-AI30</f>
        <v>0</v>
      </c>
      <c r="AJ31" s="150"/>
      <c r="AK31" s="151"/>
      <c r="AL31" s="152">
        <f>+AL29-AL30</f>
        <v>0</v>
      </c>
      <c r="AM31" s="150"/>
      <c r="AN31" s="151"/>
      <c r="AO31" s="152" t="e">
        <f>+AO29-AO30</f>
        <v>#REF!</v>
      </c>
      <c r="AP31" s="150"/>
      <c r="AQ31" s="151"/>
      <c r="AR31" s="152" t="e">
        <f>+AR29-AR30</f>
        <v>#REF!</v>
      </c>
      <c r="AS31" s="150"/>
      <c r="AT31" s="151"/>
      <c r="AU31" s="152" t="e">
        <f>+AU29-AU30</f>
        <v>#REF!</v>
      </c>
      <c r="AV31" s="150"/>
      <c r="AW31" s="151"/>
      <c r="AX31" s="152" t="e">
        <f>+AX29-AX30</f>
        <v>#REF!</v>
      </c>
      <c r="AY31" s="150"/>
      <c r="AZ31" s="151"/>
      <c r="BA31" s="152" t="e">
        <f>+BA29-BA30</f>
        <v>#REF!</v>
      </c>
      <c r="BB31" s="150"/>
      <c r="BC31" s="151"/>
      <c r="BD31" s="152" t="e">
        <f>+BD29-BD30</f>
        <v>#REF!</v>
      </c>
    </row>
    <row r="32" spans="1:56" ht="31.8" thickBot="1" x14ac:dyDescent="0.35">
      <c r="A32" s="5"/>
      <c r="B32" s="140"/>
      <c r="C32" s="140"/>
      <c r="D32" s="140"/>
      <c r="E32" s="140"/>
      <c r="F32" s="140"/>
      <c r="G32" s="140"/>
      <c r="H32" s="140"/>
      <c r="I32" s="141"/>
      <c r="J32" s="142"/>
      <c r="K32" s="143"/>
      <c r="L32" s="142"/>
      <c r="M32" s="145"/>
      <c r="N32" s="146"/>
      <c r="O32" s="146"/>
      <c r="P32" s="146"/>
      <c r="Q32" s="149"/>
      <c r="R32" s="146"/>
      <c r="S32" s="146"/>
      <c r="T32" s="149"/>
      <c r="U32" s="146"/>
      <c r="V32" s="146"/>
      <c r="W32" s="149"/>
      <c r="X32" s="146"/>
      <c r="Y32" s="146"/>
      <c r="Z32" s="5"/>
      <c r="AA32" s="5"/>
      <c r="AB32" s="5"/>
      <c r="AC32" s="153"/>
      <c r="AD32" s="5"/>
    </row>
    <row r="33" spans="1:30" ht="38.25" customHeight="1" thickBot="1" x14ac:dyDescent="0.35">
      <c r="A33" s="5"/>
      <c r="B33" s="140"/>
      <c r="C33" s="140"/>
      <c r="D33" s="140"/>
      <c r="E33" s="140"/>
      <c r="F33" s="154"/>
      <c r="G33" s="140"/>
      <c r="H33" s="140"/>
      <c r="I33" s="254" t="s">
        <v>38</v>
      </c>
      <c r="J33" s="255"/>
      <c r="K33" s="255"/>
      <c r="L33" s="255"/>
      <c r="M33" s="256"/>
      <c r="N33" s="257" t="str">
        <f>+N9</f>
        <v>DAVID RICO</v>
      </c>
      <c r="O33" s="258"/>
      <c r="P33" s="258"/>
      <c r="Q33" s="258" t="str">
        <f>+Q9</f>
        <v>OFERENTE 2</v>
      </c>
      <c r="R33" s="258"/>
      <c r="S33" s="258"/>
      <c r="T33" s="258" t="str">
        <f>+T9</f>
        <v>OFERENTE 3</v>
      </c>
      <c r="U33" s="258"/>
      <c r="V33" s="258"/>
      <c r="W33" s="258" t="str">
        <f>+W9</f>
        <v>OFERENTE 4</v>
      </c>
      <c r="X33" s="258"/>
      <c r="Y33" s="259"/>
      <c r="Z33" s="5"/>
      <c r="AA33" s="5"/>
      <c r="AB33" s="5"/>
      <c r="AC33" s="153"/>
      <c r="AD33" s="5"/>
    </row>
    <row r="34" spans="1:30" ht="31.8" thickBot="1" x14ac:dyDescent="0.35">
      <c r="A34" s="5"/>
      <c r="B34" s="140"/>
      <c r="C34" s="140"/>
      <c r="D34" s="140"/>
      <c r="E34" s="140"/>
      <c r="F34" s="154"/>
      <c r="G34" s="140"/>
      <c r="H34" s="140"/>
      <c r="I34" s="260" t="s">
        <v>39</v>
      </c>
      <c r="J34" s="261"/>
      <c r="K34" s="261"/>
      <c r="L34" s="261"/>
      <c r="M34" s="262"/>
      <c r="N34" s="267">
        <f>+N30-I30</f>
        <v>970000</v>
      </c>
      <c r="O34" s="268"/>
      <c r="P34" s="269"/>
      <c r="Q34" s="270">
        <f>+Q30-I30</f>
        <v>0</v>
      </c>
      <c r="R34" s="268"/>
      <c r="S34" s="269"/>
      <c r="T34" s="268">
        <f>+T30-I30</f>
        <v>0</v>
      </c>
      <c r="U34" s="268"/>
      <c r="V34" s="269"/>
      <c r="W34" s="268">
        <f>+W30-I30</f>
        <v>0</v>
      </c>
      <c r="X34" s="268"/>
      <c r="Y34" s="271"/>
      <c r="Z34" s="5"/>
      <c r="AA34" s="5"/>
      <c r="AB34" s="5"/>
      <c r="AC34" s="153"/>
      <c r="AD34" s="5"/>
    </row>
    <row r="35" spans="1:30" ht="31.8" thickBot="1" x14ac:dyDescent="0.35">
      <c r="A35" s="5"/>
      <c r="B35" s="140"/>
      <c r="C35" s="140"/>
      <c r="D35" s="140"/>
      <c r="E35" s="140"/>
      <c r="F35" s="155"/>
      <c r="G35" s="140"/>
      <c r="H35" s="140"/>
      <c r="I35" s="260" t="s">
        <v>23</v>
      </c>
      <c r="J35" s="261"/>
      <c r="K35" s="261"/>
      <c r="L35" s="261"/>
      <c r="M35" s="262"/>
      <c r="N35" s="263">
        <f>+AB26</f>
        <v>0</v>
      </c>
      <c r="O35" s="264"/>
      <c r="P35" s="265"/>
      <c r="Q35" s="264">
        <f>+AE26</f>
        <v>0</v>
      </c>
      <c r="R35" s="264"/>
      <c r="S35" s="265"/>
      <c r="T35" s="264">
        <f>+AH26</f>
        <v>0</v>
      </c>
      <c r="U35" s="264"/>
      <c r="V35" s="265"/>
      <c r="W35" s="264">
        <f>+AK26</f>
        <v>0</v>
      </c>
      <c r="X35" s="264"/>
      <c r="Y35" s="266"/>
      <c r="Z35" s="5"/>
      <c r="AA35" s="5"/>
      <c r="AB35" s="5"/>
      <c r="AC35" s="153"/>
      <c r="AD35" s="5"/>
    </row>
    <row r="36" spans="1:30" ht="31.8" thickBot="1" x14ac:dyDescent="0.35">
      <c r="A36" s="5"/>
      <c r="B36" s="140"/>
      <c r="C36" s="140"/>
      <c r="D36" s="140"/>
      <c r="E36" s="140"/>
      <c r="F36" s="140"/>
      <c r="G36" s="140"/>
      <c r="H36" s="140"/>
      <c r="I36" s="260" t="s">
        <v>25</v>
      </c>
      <c r="J36" s="261"/>
      <c r="K36" s="261"/>
      <c r="L36" s="261"/>
      <c r="M36" s="262"/>
      <c r="N36" s="275">
        <f>+AC26</f>
        <v>0</v>
      </c>
      <c r="O36" s="276"/>
      <c r="P36" s="277"/>
      <c r="Q36" s="276">
        <f>+AF26</f>
        <v>0</v>
      </c>
      <c r="R36" s="276"/>
      <c r="S36" s="277"/>
      <c r="T36" s="276">
        <f>+AI26</f>
        <v>0</v>
      </c>
      <c r="U36" s="276"/>
      <c r="V36" s="277"/>
      <c r="W36" s="276">
        <f>+AL26</f>
        <v>0</v>
      </c>
      <c r="X36" s="276"/>
      <c r="Y36" s="278"/>
      <c r="Z36" s="5"/>
      <c r="AA36" s="5"/>
      <c r="AB36" s="5"/>
      <c r="AC36" s="153"/>
      <c r="AD36" s="5"/>
    </row>
    <row r="37" spans="1:30" ht="31.2" x14ac:dyDescent="0.3">
      <c r="A37" s="5"/>
      <c r="B37" s="140"/>
      <c r="C37" s="140"/>
      <c r="D37" s="140"/>
      <c r="E37" s="140"/>
      <c r="F37" s="140"/>
      <c r="G37" s="140"/>
      <c r="H37" s="140"/>
      <c r="I37" s="141"/>
      <c r="J37" s="142"/>
      <c r="K37" s="143"/>
      <c r="L37" s="142"/>
      <c r="M37" s="156"/>
      <c r="N37" s="146" t="s">
        <v>40</v>
      </c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5"/>
      <c r="AA37" s="5"/>
      <c r="AB37" s="5"/>
      <c r="AC37" s="153"/>
      <c r="AD37" s="5"/>
    </row>
    <row r="38" spans="1:30" ht="31.2" x14ac:dyDescent="0.3">
      <c r="A38" s="5"/>
      <c r="B38" s="140"/>
      <c r="C38" s="140"/>
      <c r="D38" s="140"/>
      <c r="E38" s="140"/>
      <c r="F38" s="140"/>
      <c r="G38" s="140"/>
      <c r="H38" s="140"/>
      <c r="I38" s="141"/>
      <c r="J38" s="142"/>
      <c r="K38" s="143"/>
      <c r="L38" s="142"/>
      <c r="M38" s="156"/>
      <c r="N38" s="146"/>
      <c r="O38" s="146"/>
      <c r="P38" s="146"/>
      <c r="Q38" s="146"/>
      <c r="R38" s="149"/>
      <c r="S38" s="146"/>
      <c r="T38" s="146"/>
      <c r="U38" s="146"/>
      <c r="V38" s="146"/>
      <c r="W38" s="146"/>
      <c r="X38" s="149"/>
      <c r="Y38" s="146"/>
      <c r="Z38" s="5"/>
      <c r="AA38" s="5"/>
      <c r="AB38" s="5"/>
      <c r="AC38" s="153"/>
      <c r="AD38" s="5"/>
    </row>
    <row r="39" spans="1:30" ht="31.8" thickBot="1" x14ac:dyDescent="0.35">
      <c r="A39" s="5"/>
      <c r="B39" s="157"/>
      <c r="C39" s="157"/>
      <c r="D39" s="157"/>
      <c r="E39" s="157"/>
      <c r="F39" s="157"/>
      <c r="G39" s="157"/>
      <c r="H39" s="158"/>
      <c r="I39" s="141"/>
      <c r="J39" s="142"/>
      <c r="K39" s="143"/>
      <c r="L39" s="142"/>
      <c r="M39" s="156"/>
      <c r="N39" s="159"/>
      <c r="O39" s="159"/>
      <c r="P39" s="160"/>
      <c r="Q39" s="159"/>
      <c r="R39" s="159"/>
      <c r="S39" s="160"/>
      <c r="T39" s="161"/>
      <c r="U39" s="161"/>
      <c r="V39" s="161"/>
      <c r="W39" s="159"/>
      <c r="X39" s="159"/>
      <c r="Y39" s="160"/>
      <c r="Z39" s="5"/>
      <c r="AA39" s="5"/>
      <c r="AB39" s="5" t="s">
        <v>41</v>
      </c>
      <c r="AC39" s="153">
        <f>+AC29-AC30</f>
        <v>970000</v>
      </c>
      <c r="AD39" s="5"/>
    </row>
    <row r="40" spans="1:30" ht="32.25" customHeight="1" x14ac:dyDescent="0.3">
      <c r="A40" s="5"/>
      <c r="I40" s="272" t="s">
        <v>42</v>
      </c>
      <c r="J40" s="273"/>
      <c r="K40" s="273"/>
      <c r="L40" s="273"/>
      <c r="M40" s="274"/>
      <c r="N40" s="272" t="str">
        <f>+N9</f>
        <v>DAVID RICO</v>
      </c>
      <c r="O40" s="273"/>
      <c r="P40" s="274"/>
      <c r="Q40" s="272" t="str">
        <f>+Q9</f>
        <v>OFERENTE 2</v>
      </c>
      <c r="R40" s="273"/>
      <c r="S40" s="274"/>
      <c r="T40" s="272" t="str">
        <f>+T9</f>
        <v>OFERENTE 3</v>
      </c>
      <c r="U40" s="273"/>
      <c r="V40" s="274"/>
      <c r="W40" s="273" t="str">
        <f>+W9</f>
        <v>OFERENTE 4</v>
      </c>
      <c r="X40" s="273"/>
      <c r="Y40" s="274"/>
      <c r="Z40" s="5"/>
      <c r="AA40" s="5"/>
      <c r="AB40" s="5"/>
      <c r="AC40" s="153"/>
      <c r="AD40" s="5"/>
    </row>
    <row r="41" spans="1:30" ht="32.25" customHeight="1" x14ac:dyDescent="0.3">
      <c r="A41" s="5"/>
      <c r="I41" s="279" t="s">
        <v>43</v>
      </c>
      <c r="J41" s="280"/>
      <c r="K41" s="280"/>
      <c r="L41" s="280"/>
      <c r="M41" s="281"/>
      <c r="N41" s="282"/>
      <c r="O41" s="282"/>
      <c r="P41" s="283"/>
      <c r="Q41" s="284"/>
      <c r="R41" s="282"/>
      <c r="S41" s="283"/>
      <c r="T41" s="282"/>
      <c r="U41" s="282"/>
      <c r="V41" s="285"/>
      <c r="W41" s="286"/>
      <c r="X41" s="286"/>
      <c r="Y41" s="287"/>
      <c r="Z41" s="5"/>
      <c r="AA41" s="5"/>
      <c r="AB41" s="5"/>
      <c r="AC41" s="153"/>
      <c r="AD41" s="5"/>
    </row>
    <row r="42" spans="1:30" ht="92.25" customHeight="1" x14ac:dyDescent="0.3">
      <c r="A42" s="5"/>
      <c r="C42" s="2">
        <v>1</v>
      </c>
      <c r="I42" s="279" t="s">
        <v>44</v>
      </c>
      <c r="J42" s="280"/>
      <c r="K42" s="280"/>
      <c r="L42" s="280"/>
      <c r="M42" s="281"/>
      <c r="N42" s="282"/>
      <c r="O42" s="282"/>
      <c r="P42" s="283"/>
      <c r="Q42" s="284"/>
      <c r="R42" s="282"/>
      <c r="S42" s="283"/>
      <c r="T42" s="282"/>
      <c r="U42" s="282"/>
      <c r="V42" s="285"/>
      <c r="W42" s="286"/>
      <c r="X42" s="286"/>
      <c r="Y42" s="287"/>
      <c r="Z42" s="5"/>
      <c r="AA42" s="5"/>
      <c r="AB42" s="5"/>
      <c r="AC42" s="153"/>
      <c r="AD42" s="5"/>
    </row>
    <row r="43" spans="1:30" ht="32.25" customHeight="1" x14ac:dyDescent="0.3">
      <c r="A43" s="5"/>
      <c r="I43" s="279" t="s">
        <v>45</v>
      </c>
      <c r="J43" s="280"/>
      <c r="K43" s="280"/>
      <c r="L43" s="280"/>
      <c r="M43" s="281"/>
      <c r="N43" s="282"/>
      <c r="O43" s="282"/>
      <c r="P43" s="283"/>
      <c r="Q43" s="284"/>
      <c r="R43" s="282"/>
      <c r="S43" s="283"/>
      <c r="T43" s="282"/>
      <c r="U43" s="282"/>
      <c r="V43" s="285"/>
      <c r="W43" s="286"/>
      <c r="X43" s="286"/>
      <c r="Y43" s="287"/>
      <c r="Z43" s="5"/>
      <c r="AA43" s="5"/>
      <c r="AB43" s="5"/>
      <c r="AC43" s="153"/>
      <c r="AD43" s="5"/>
    </row>
    <row r="44" spans="1:30" ht="152.25" customHeight="1" x14ac:dyDescent="0.3">
      <c r="A44" s="5"/>
      <c r="I44" s="279" t="s">
        <v>46</v>
      </c>
      <c r="J44" s="280"/>
      <c r="K44" s="280"/>
      <c r="L44" s="280"/>
      <c r="M44" s="281"/>
      <c r="N44" s="282"/>
      <c r="O44" s="282"/>
      <c r="P44" s="283"/>
      <c r="Q44" s="284"/>
      <c r="R44" s="282"/>
      <c r="S44" s="283"/>
      <c r="T44" s="282"/>
      <c r="U44" s="282"/>
      <c r="V44" s="285"/>
      <c r="W44" s="286"/>
      <c r="X44" s="286"/>
      <c r="Y44" s="287"/>
      <c r="Z44" s="5"/>
      <c r="AA44" s="5"/>
      <c r="AB44" s="5"/>
      <c r="AC44" s="153"/>
      <c r="AD44" s="5"/>
    </row>
    <row r="45" spans="1:30" ht="28.8" x14ac:dyDescent="0.3">
      <c r="A45" s="5"/>
      <c r="I45" s="279" t="s">
        <v>47</v>
      </c>
      <c r="J45" s="280"/>
      <c r="K45" s="280"/>
      <c r="L45" s="280"/>
      <c r="M45" s="281"/>
      <c r="N45" s="282"/>
      <c r="O45" s="282"/>
      <c r="P45" s="283"/>
      <c r="Q45" s="284"/>
      <c r="R45" s="282"/>
      <c r="S45" s="283"/>
      <c r="T45" s="282"/>
      <c r="U45" s="282"/>
      <c r="V45" s="285"/>
      <c r="W45" s="286"/>
      <c r="X45" s="286"/>
      <c r="Y45" s="287"/>
      <c r="Z45" s="5"/>
      <c r="AA45" s="5"/>
      <c r="AB45" s="5"/>
      <c r="AC45" s="153"/>
      <c r="AD45" s="5"/>
    </row>
    <row r="46" spans="1:30" ht="64.5" customHeight="1" x14ac:dyDescent="0.3">
      <c r="A46" s="5"/>
      <c r="I46" s="279" t="s">
        <v>48</v>
      </c>
      <c r="J46" s="280"/>
      <c r="K46" s="280"/>
      <c r="L46" s="280"/>
      <c r="M46" s="281"/>
      <c r="N46" s="282"/>
      <c r="O46" s="282"/>
      <c r="P46" s="283"/>
      <c r="Q46" s="284"/>
      <c r="R46" s="282"/>
      <c r="S46" s="283"/>
      <c r="T46" s="282"/>
      <c r="U46" s="282"/>
      <c r="V46" s="285"/>
      <c r="W46" s="288"/>
      <c r="X46" s="282"/>
      <c r="Y46" s="283"/>
      <c r="Z46" s="5"/>
      <c r="AA46" s="5"/>
      <c r="AB46" s="5"/>
      <c r="AC46" s="153"/>
      <c r="AD46" s="5"/>
    </row>
    <row r="47" spans="1:30" ht="32.25" customHeight="1" x14ac:dyDescent="0.3">
      <c r="A47" s="5"/>
      <c r="I47" s="279" t="s">
        <v>49</v>
      </c>
      <c r="J47" s="280"/>
      <c r="K47" s="280"/>
      <c r="L47" s="280"/>
      <c r="M47" s="281"/>
      <c r="N47" s="282"/>
      <c r="O47" s="282"/>
      <c r="P47" s="283"/>
      <c r="Q47" s="284"/>
      <c r="R47" s="282"/>
      <c r="S47" s="283"/>
      <c r="T47" s="282"/>
      <c r="U47" s="282"/>
      <c r="V47" s="285"/>
      <c r="W47" s="286"/>
      <c r="X47" s="286"/>
      <c r="Y47" s="287"/>
      <c r="Z47" s="5"/>
      <c r="AA47" s="5"/>
      <c r="AB47" s="5"/>
      <c r="AC47" s="153"/>
      <c r="AD47" s="5"/>
    </row>
    <row r="48" spans="1:30" ht="32.25" customHeight="1" x14ac:dyDescent="0.3">
      <c r="A48" s="5"/>
      <c r="I48" s="279" t="s">
        <v>50</v>
      </c>
      <c r="J48" s="280"/>
      <c r="K48" s="280"/>
      <c r="L48" s="280"/>
      <c r="M48" s="281"/>
      <c r="N48" s="282"/>
      <c r="O48" s="282"/>
      <c r="P48" s="283"/>
      <c r="Q48" s="284"/>
      <c r="R48" s="282"/>
      <c r="S48" s="283"/>
      <c r="T48" s="282"/>
      <c r="U48" s="282"/>
      <c r="V48" s="285"/>
      <c r="W48" s="286"/>
      <c r="X48" s="286"/>
      <c r="Y48" s="287"/>
      <c r="Z48" s="5"/>
      <c r="AA48" s="5"/>
      <c r="AB48" s="5"/>
      <c r="AC48" s="153"/>
      <c r="AD48" s="5"/>
    </row>
    <row r="49" spans="1:30" ht="29.4" thickBot="1" x14ac:dyDescent="0.35">
      <c r="A49" s="5"/>
      <c r="I49" s="295" t="s">
        <v>51</v>
      </c>
      <c r="J49" s="296"/>
      <c r="K49" s="296"/>
      <c r="L49" s="296"/>
      <c r="M49" s="297"/>
      <c r="N49" s="298"/>
      <c r="O49" s="298"/>
      <c r="P49" s="299"/>
      <c r="Q49" s="300"/>
      <c r="R49" s="298"/>
      <c r="S49" s="299"/>
      <c r="T49" s="298"/>
      <c r="U49" s="298"/>
      <c r="V49" s="301"/>
      <c r="W49" s="289"/>
      <c r="X49" s="289"/>
      <c r="Y49" s="290"/>
      <c r="Z49" s="5"/>
      <c r="AA49" s="5"/>
      <c r="AB49" s="5"/>
      <c r="AC49" s="153"/>
      <c r="AD49" s="5"/>
    </row>
    <row r="59" spans="1:30" ht="51.75" customHeight="1" x14ac:dyDescent="0.45">
      <c r="B59" s="292" t="s">
        <v>52</v>
      </c>
      <c r="C59" s="292"/>
      <c r="D59" s="162"/>
      <c r="E59" s="163"/>
      <c r="F59" s="163"/>
      <c r="G59" s="163"/>
      <c r="H59" s="163"/>
      <c r="I59" s="164"/>
      <c r="J59" s="164"/>
      <c r="K59" s="165"/>
      <c r="L59" s="164"/>
      <c r="M59" s="164"/>
      <c r="N59" s="166"/>
      <c r="O59" s="166"/>
      <c r="P59" s="167"/>
      <c r="Q59" s="166"/>
    </row>
    <row r="60" spans="1:30" ht="51.75" customHeight="1" x14ac:dyDescent="0.45">
      <c r="B60" s="167" t="s">
        <v>53</v>
      </c>
      <c r="C60" s="291" t="s">
        <v>54</v>
      </c>
      <c r="D60" s="291"/>
      <c r="E60" s="163"/>
      <c r="F60" s="163"/>
      <c r="G60" s="163"/>
      <c r="H60" s="163"/>
      <c r="I60" s="169"/>
      <c r="J60" s="169"/>
      <c r="K60" s="167"/>
      <c r="L60" s="169"/>
      <c r="M60" s="169"/>
      <c r="N60" s="168"/>
      <c r="O60" s="168"/>
      <c r="P60" s="167"/>
      <c r="Q60" s="168"/>
    </row>
    <row r="61" spans="1:30" ht="51.75" customHeight="1" x14ac:dyDescent="0.45">
      <c r="B61" s="167" t="s">
        <v>55</v>
      </c>
      <c r="C61" s="293" t="s">
        <v>56</v>
      </c>
      <c r="D61" s="293"/>
      <c r="E61" s="163"/>
      <c r="F61" s="163"/>
      <c r="G61" s="163"/>
      <c r="H61" s="163"/>
      <c r="I61" s="170"/>
      <c r="J61" s="170"/>
      <c r="K61" s="167"/>
      <c r="L61" s="170"/>
      <c r="M61" s="170"/>
      <c r="N61" s="171"/>
      <c r="O61" s="171"/>
      <c r="P61" s="170"/>
      <c r="Q61" s="171"/>
    </row>
    <row r="62" spans="1:30" ht="51.75" customHeight="1" x14ac:dyDescent="0.45">
      <c r="B62" s="294"/>
      <c r="C62" s="294"/>
      <c r="D62" s="170"/>
      <c r="E62" s="163"/>
      <c r="F62" s="163"/>
      <c r="G62" s="163"/>
      <c r="H62" s="163"/>
      <c r="I62" s="170"/>
      <c r="J62" s="170"/>
      <c r="K62" s="170"/>
      <c r="L62" s="170"/>
      <c r="M62" s="170"/>
      <c r="N62" s="173"/>
      <c r="O62" s="173"/>
      <c r="P62" s="170"/>
      <c r="Q62" s="173"/>
    </row>
    <row r="63" spans="1:30" ht="51.75" customHeight="1" x14ac:dyDescent="0.45">
      <c r="B63" s="172"/>
      <c r="C63" s="172"/>
      <c r="D63" s="170"/>
      <c r="E63" s="163"/>
      <c r="F63" s="163"/>
      <c r="G63" s="163"/>
      <c r="H63" s="163"/>
      <c r="I63" s="170"/>
      <c r="J63" s="170"/>
      <c r="K63" s="170"/>
      <c r="L63" s="170"/>
      <c r="M63" s="170"/>
      <c r="N63" s="173"/>
      <c r="O63" s="173"/>
      <c r="P63" s="174"/>
      <c r="Q63" s="173"/>
    </row>
    <row r="64" spans="1:30" ht="51.75" customHeight="1" x14ac:dyDescent="0.45">
      <c r="B64" s="172"/>
      <c r="C64" s="172"/>
      <c r="D64" s="170"/>
      <c r="E64" s="163"/>
      <c r="F64" s="163"/>
      <c r="G64" s="163"/>
      <c r="H64" s="163"/>
      <c r="I64" s="170"/>
      <c r="J64" s="170"/>
      <c r="K64" s="170"/>
      <c r="L64" s="170"/>
      <c r="M64" s="170"/>
      <c r="N64" s="173"/>
      <c r="O64" s="173"/>
      <c r="P64" s="174"/>
      <c r="Q64" s="173"/>
    </row>
    <row r="65" spans="2:17" ht="51.75" customHeight="1" x14ac:dyDescent="0.45">
      <c r="B65" s="292" t="s">
        <v>57</v>
      </c>
      <c r="C65" s="292"/>
      <c r="D65" s="163"/>
      <c r="E65" s="163"/>
      <c r="F65" s="163"/>
      <c r="G65" s="163"/>
      <c r="H65" s="163"/>
      <c r="I65" s="164"/>
      <c r="J65" s="164"/>
      <c r="K65" s="175"/>
      <c r="L65" s="164"/>
      <c r="M65" s="164"/>
      <c r="N65" s="171"/>
      <c r="O65" s="171"/>
      <c r="P65" s="164"/>
      <c r="Q65" s="171"/>
    </row>
    <row r="66" spans="2:17" ht="51.75" customHeight="1" x14ac:dyDescent="0.45">
      <c r="B66" s="167" t="s">
        <v>53</v>
      </c>
      <c r="C66" s="181" t="s">
        <v>58</v>
      </c>
      <c r="D66" s="163"/>
      <c r="E66" s="163"/>
      <c r="F66" s="163"/>
      <c r="G66" s="163"/>
      <c r="H66" s="163"/>
      <c r="I66" s="176"/>
      <c r="J66" s="176"/>
      <c r="K66" s="175"/>
      <c r="L66" s="176"/>
      <c r="M66" s="176"/>
      <c r="N66" s="171"/>
      <c r="O66" s="171"/>
      <c r="P66" s="176"/>
      <c r="Q66" s="171"/>
    </row>
    <row r="67" spans="2:17" ht="51.75" customHeight="1" x14ac:dyDescent="0.45">
      <c r="B67" s="167" t="s">
        <v>55</v>
      </c>
      <c r="C67" s="182" t="s">
        <v>59</v>
      </c>
      <c r="D67" s="163"/>
      <c r="E67" s="163"/>
      <c r="F67" s="163"/>
      <c r="G67" s="163"/>
      <c r="H67" s="163"/>
      <c r="I67" s="176"/>
      <c r="J67" s="176"/>
      <c r="K67" s="175"/>
      <c r="L67" s="176"/>
      <c r="M67" s="176"/>
      <c r="N67" s="166"/>
      <c r="O67" s="166"/>
      <c r="P67" s="176"/>
      <c r="Q67" s="166"/>
    </row>
    <row r="68" spans="2:17" ht="51.75" customHeight="1" x14ac:dyDescent="0.3">
      <c r="B68" s="177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9"/>
      <c r="O68" s="179"/>
      <c r="P68" s="178"/>
      <c r="Q68" s="179"/>
    </row>
  </sheetData>
  <mergeCells count="133">
    <mergeCell ref="C60:D60"/>
    <mergeCell ref="B65:C65"/>
    <mergeCell ref="C61:D61"/>
    <mergeCell ref="B62:C62"/>
    <mergeCell ref="B59:C59"/>
    <mergeCell ref="I49:M49"/>
    <mergeCell ref="N49:P49"/>
    <mergeCell ref="Q49:S49"/>
    <mergeCell ref="T49:V49"/>
    <mergeCell ref="W49:Y49"/>
    <mergeCell ref="I48:M48"/>
    <mergeCell ref="N48:P48"/>
    <mergeCell ref="Q48:S48"/>
    <mergeCell ref="T48:V48"/>
    <mergeCell ref="W48:Y48"/>
    <mergeCell ref="I47:M47"/>
    <mergeCell ref="N47:P47"/>
    <mergeCell ref="Q47:S47"/>
    <mergeCell ref="T47:V47"/>
    <mergeCell ref="W47:Y47"/>
    <mergeCell ref="I46:M46"/>
    <mergeCell ref="N46:P46"/>
    <mergeCell ref="Q46:S46"/>
    <mergeCell ref="T46:V46"/>
    <mergeCell ref="W46:Y46"/>
    <mergeCell ref="I45:M45"/>
    <mergeCell ref="N45:P45"/>
    <mergeCell ref="Q45:S45"/>
    <mergeCell ref="T45:V45"/>
    <mergeCell ref="W45:Y45"/>
    <mergeCell ref="I44:M44"/>
    <mergeCell ref="N44:P44"/>
    <mergeCell ref="Q44:S44"/>
    <mergeCell ref="T44:V44"/>
    <mergeCell ref="W44:Y44"/>
    <mergeCell ref="I43:M43"/>
    <mergeCell ref="N43:P43"/>
    <mergeCell ref="Q43:S43"/>
    <mergeCell ref="T43:V43"/>
    <mergeCell ref="W43:Y43"/>
    <mergeCell ref="I42:M42"/>
    <mergeCell ref="N42:P42"/>
    <mergeCell ref="Q42:S42"/>
    <mergeCell ref="T42:V42"/>
    <mergeCell ref="W42:Y42"/>
    <mergeCell ref="I41:M41"/>
    <mergeCell ref="N41:P41"/>
    <mergeCell ref="Q41:S41"/>
    <mergeCell ref="T41:V41"/>
    <mergeCell ref="W41:Y41"/>
    <mergeCell ref="I40:M40"/>
    <mergeCell ref="N40:P40"/>
    <mergeCell ref="Q40:S40"/>
    <mergeCell ref="T40:V40"/>
    <mergeCell ref="W40:Y40"/>
    <mergeCell ref="I36:M36"/>
    <mergeCell ref="N36:P36"/>
    <mergeCell ref="Q36:S36"/>
    <mergeCell ref="T36:V36"/>
    <mergeCell ref="W36:Y36"/>
    <mergeCell ref="I35:M35"/>
    <mergeCell ref="N35:P35"/>
    <mergeCell ref="Q35:S35"/>
    <mergeCell ref="T35:V35"/>
    <mergeCell ref="W35:Y35"/>
    <mergeCell ref="I34:M34"/>
    <mergeCell ref="N34:P34"/>
    <mergeCell ref="Q34:S34"/>
    <mergeCell ref="T34:V34"/>
    <mergeCell ref="W34:Y34"/>
    <mergeCell ref="I33:M33"/>
    <mergeCell ref="N33:P33"/>
    <mergeCell ref="Q33:S33"/>
    <mergeCell ref="T33:V33"/>
    <mergeCell ref="W33:Y33"/>
    <mergeCell ref="L30:M30"/>
    <mergeCell ref="N30:P30"/>
    <mergeCell ref="Q30:S30"/>
    <mergeCell ref="T30:V30"/>
    <mergeCell ref="W30:Y30"/>
    <mergeCell ref="B26:G26"/>
    <mergeCell ref="B27:G27"/>
    <mergeCell ref="B28:G28"/>
    <mergeCell ref="B29:H29"/>
    <mergeCell ref="B30:H30"/>
    <mergeCell ref="I30:K30"/>
    <mergeCell ref="C20:E20"/>
    <mergeCell ref="C21:E21"/>
    <mergeCell ref="C22:E22"/>
    <mergeCell ref="B23:G23"/>
    <mergeCell ref="B24:G24"/>
    <mergeCell ref="B25:G25"/>
    <mergeCell ref="C14:E14"/>
    <mergeCell ref="C15:E15"/>
    <mergeCell ref="C16:E16"/>
    <mergeCell ref="C17:E17"/>
    <mergeCell ref="C18:E18"/>
    <mergeCell ref="C19:E19"/>
    <mergeCell ref="AV10:AX10"/>
    <mergeCell ref="AY10:BA10"/>
    <mergeCell ref="BB10:BD10"/>
    <mergeCell ref="C11:E11"/>
    <mergeCell ref="C12:F12"/>
    <mergeCell ref="C13:E13"/>
    <mergeCell ref="AD10:AF10"/>
    <mergeCell ref="AG10:AI10"/>
    <mergeCell ref="AJ10:AL10"/>
    <mergeCell ref="AM10:AO10"/>
    <mergeCell ref="AP10:AR10"/>
    <mergeCell ref="AS10:AU10"/>
    <mergeCell ref="AA10:AC10"/>
    <mergeCell ref="W9:Y9"/>
    <mergeCell ref="N10:P10"/>
    <mergeCell ref="Q10:S10"/>
    <mergeCell ref="T10:V10"/>
    <mergeCell ref="W10:Y10"/>
    <mergeCell ref="B9:H10"/>
    <mergeCell ref="I9:K10"/>
    <mergeCell ref="L9:M10"/>
    <mergeCell ref="N9:P9"/>
    <mergeCell ref="Q9:S9"/>
    <mergeCell ref="T9:V9"/>
    <mergeCell ref="B5:C5"/>
    <mergeCell ref="D5:G5"/>
    <mergeCell ref="L5:Y5"/>
    <mergeCell ref="D6:G6"/>
    <mergeCell ref="B8:G8"/>
    <mergeCell ref="N8:Y8"/>
    <mergeCell ref="B1:G2"/>
    <mergeCell ref="H1:Y2"/>
    <mergeCell ref="B4:C4"/>
    <mergeCell ref="D4:G4"/>
    <mergeCell ref="L4:Y4"/>
  </mergeCells>
  <phoneticPr fontId="3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COMPARATIVO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Marmolejo Cardenas</dc:creator>
  <cp:lastModifiedBy>Cesar Hurtado Arcila</cp:lastModifiedBy>
  <dcterms:created xsi:type="dcterms:W3CDTF">2026-01-13T13:34:17Z</dcterms:created>
  <dcterms:modified xsi:type="dcterms:W3CDTF">2026-06-19T15:47:03Z</dcterms:modified>
</cp:coreProperties>
</file>